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arichney-my.sharepoint.com/personal/steven_zarichney_com/Documents/Personal/"/>
    </mc:Choice>
  </mc:AlternateContent>
  <xr:revisionPtr revIDLastSave="10295" documentId="101_{0F58F232-51AE-42AC-9261-A2FFAAFD0B11}" xr6:coauthVersionLast="47" xr6:coauthVersionMax="47" xr10:uidLastSave="{33C0B5F6-F3A5-41E2-BB4F-4F8D3238DA02}"/>
  <bookViews>
    <workbookView xWindow="-108" yWindow="-108" windowWidth="23256" windowHeight="13896" tabRatio="627" firstSheet="2" activeTab="2" xr2:uid="{AC1B9741-AABF-4C6F-AB89-09AB6058C23A}"/>
  </bookViews>
  <sheets>
    <sheet name="Yearly Overview" sheetId="5" r:id="rId1"/>
    <sheet name="Monthly Overview" sheetId="2" r:id="rId2"/>
    <sheet name="Budget" sheetId="10" r:id="rId3"/>
    <sheet name="Expenses" sheetId="1" r:id="rId4"/>
    <sheet name="Income" sheetId="4" r:id="rId5"/>
    <sheet name="Accruals" sheetId="17" r:id="rId6"/>
    <sheet name="Transactions" sheetId="7" r:id="rId7"/>
    <sheet name="Feature Idea" sheetId="18" r:id="rId8"/>
    <sheet name="Rollovers" sheetId="12" r:id="rId9"/>
    <sheet name="ChangeHistory" sheetId="13" r:id="rId10"/>
    <sheet name="CategoryRules" sheetId="3" r:id="rId11"/>
    <sheet name="Accounts" sheetId="11" r:id="rId12"/>
  </sheets>
  <definedNames>
    <definedName name="_xlnm._FilterDatabase" localSheetId="5" hidden="1">Accruals!$A$1:$I$13</definedName>
    <definedName name="_xlnm._FilterDatabase" localSheetId="10" hidden="1">CategoryRules!$A$1:$D$485</definedName>
    <definedName name="Accruals">Accruals!$A$1:$L$13</definedName>
    <definedName name="AccrualsMonthly">Accruals!$G$14</definedName>
    <definedName name="AccruedTotal">Accruals!$F$14</definedName>
    <definedName name="Categories">Expenses!$C:$C</definedName>
    <definedName name="CurrentMonth">Budget!$A$2</definedName>
    <definedName name="CurrentYear">Budget!$B$2</definedName>
    <definedName name="Deductions">Income!$I:$I</definedName>
    <definedName name="ExpenseAccounts">Expenses!$E:$E</definedName>
    <definedName name="ExpenseBudgets">Expenses!$B:$B</definedName>
    <definedName name="Expenses">Expenses!$A:$A</definedName>
    <definedName name="Gross">Income!$D:$D</definedName>
    <definedName name="Monthly">Income!$J:$J</definedName>
    <definedName name="MonthlyLeftover">'Monthly Overview'!$B$12</definedName>
    <definedName name="Requiredness">Expenses!$D:$D</definedName>
    <definedName name="Source">Income!$B:$B</definedName>
    <definedName name="TotalAccrued">Accruals!$F$14</definedName>
    <definedName name="TotalMonthlyExpenses" localSheetId="0">ExpenseData[[#Totals],[Budget]]</definedName>
    <definedName name="TotalMonthlyExpenses">ExpenseData[[#Totals],[Budget]]</definedName>
    <definedName name="TotalMonthlyIncome" localSheetId="0">IncomeData[[#Totals],[Monthly]]</definedName>
    <definedName name="TotalMonthlyIncome">IncomeData[[#Totals],[Monthly]]</definedName>
    <definedName name="TotalSalary" localSheetId="0">IncomeData[[#Totals],[Salary]]</definedName>
    <definedName name="TotalSalary">IncomeData[[#Totals],[Salary]]</definedName>
    <definedName name="TransactionDates">Transactions[Date]</definedName>
    <definedName name="TransactionExpenseType">Transactions[Expense Type]</definedName>
    <definedName name="TransactionIds">Transactions[ID]</definedName>
    <definedName name="TransactionsAmount">Transactions[Amount]</definedName>
    <definedName name="Yearly">Income!$K:$K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7" l="1"/>
  <c r="D5" i="17"/>
  <c r="E5" i="17"/>
  <c r="G37" i="13"/>
  <c r="D37" i="13"/>
  <c r="D32" i="13"/>
  <c r="G32" i="13"/>
  <c r="G17" i="1"/>
  <c r="B17" i="1"/>
  <c r="G2289" i="7"/>
  <c r="G2255" i="7"/>
  <c r="G44" i="1"/>
  <c r="H13" i="17"/>
  <c r="I13" i="17"/>
  <c r="G13" i="17"/>
  <c r="J10" i="17"/>
  <c r="L10" i="17"/>
  <c r="H8" i="17"/>
  <c r="I8" i="17"/>
  <c r="G8" i="17"/>
  <c r="J8" i="17"/>
  <c r="L8" i="17"/>
  <c r="H10" i="17"/>
  <c r="I10" i="17"/>
  <c r="G10" i="17"/>
  <c r="J9" i="17"/>
  <c r="L9" i="17"/>
  <c r="G2184" i="7"/>
  <c r="G2098" i="7"/>
  <c r="G2057" i="7"/>
  <c r="B34" i="1"/>
  <c r="G36" i="13"/>
  <c r="D36" i="13"/>
  <c r="G2055" i="7"/>
  <c r="G2056" i="7"/>
  <c r="D28" i="13"/>
  <c r="G28" i="13"/>
  <c r="G1929" i="7"/>
  <c r="H6" i="17"/>
  <c r="I6" i="17"/>
  <c r="G6" i="17"/>
  <c r="J5" i="17"/>
  <c r="L5" i="17"/>
  <c r="G1832" i="7"/>
  <c r="D25" i="13"/>
  <c r="G25" i="13"/>
  <c r="G1789" i="7"/>
  <c r="D23" i="13"/>
  <c r="G23" i="13"/>
  <c r="G1684" i="7"/>
  <c r="L12" i="10" a="1"/>
  <c r="L12" i="10"/>
  <c r="D7" i="13"/>
  <c r="G7" i="13"/>
  <c r="F4" i="2"/>
  <c r="E9" i="10"/>
  <c r="E11" i="10"/>
  <c r="E13" i="10"/>
  <c r="E14" i="10"/>
  <c r="Q14" i="10"/>
  <c r="K5" i="10"/>
  <c r="K7" i="10"/>
  <c r="K8" i="10"/>
  <c r="K12" i="10"/>
  <c r="E4" i="10"/>
  <c r="G2" i="13"/>
  <c r="G3" i="13"/>
  <c r="G4" i="13"/>
  <c r="G5" i="13"/>
  <c r="G6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4" i="13"/>
  <c r="G26" i="13"/>
  <c r="G27" i="13"/>
  <c r="G29" i="13"/>
  <c r="G30" i="13"/>
  <c r="G31" i="13"/>
  <c r="G33" i="13"/>
  <c r="G34" i="13"/>
  <c r="G35" i="13"/>
  <c r="G38" i="13"/>
  <c r="G39" i="13"/>
  <c r="G40" i="13"/>
  <c r="G41" i="13"/>
  <c r="D2" i="13"/>
  <c r="D3" i="13"/>
  <c r="D4" i="13"/>
  <c r="D5" i="13"/>
  <c r="D6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4" i="13"/>
  <c r="D26" i="13"/>
  <c r="K14" i="10"/>
  <c r="D27" i="13"/>
  <c r="D29" i="13"/>
  <c r="D30" i="13"/>
  <c r="D31" i="13"/>
  <c r="D33" i="13"/>
  <c r="D34" i="13"/>
  <c r="D35" i="13"/>
  <c r="D38" i="13"/>
  <c r="Q3" i="10"/>
  <c r="D39" i="13"/>
  <c r="D40" i="13"/>
  <c r="E8" i="10"/>
  <c r="D41" i="13"/>
  <c r="J4" i="17"/>
  <c r="L4" i="17"/>
  <c r="K10" i="10"/>
  <c r="G1589" i="7"/>
  <c r="R4" i="10" a="1"/>
  <c r="R4" i="10"/>
  <c r="G1437" i="7"/>
  <c r="G1343" i="7"/>
  <c r="G1387" i="7"/>
  <c r="G1382" i="7"/>
  <c r="C2" i="4"/>
  <c r="G1206" i="7"/>
  <c r="G1196" i="7"/>
  <c r="G1125" i="7"/>
  <c r="G1110" i="7"/>
  <c r="G1062" i="7"/>
  <c r="R5" i="10" a="1"/>
  <c r="R5" i="10"/>
  <c r="P5" i="10" a="1"/>
  <c r="P5" i="10"/>
  <c r="L13" i="10" a="1"/>
  <c r="L13" i="10"/>
  <c r="J13" i="10" a="1"/>
  <c r="J13" i="10"/>
  <c r="F9" i="2"/>
  <c r="G868" i="7"/>
  <c r="G798" i="7"/>
  <c r="G763" i="7"/>
  <c r="G765" i="7"/>
  <c r="G766" i="7"/>
  <c r="G673" i="7"/>
  <c r="D5" i="10" a="1"/>
  <c r="D5" i="10"/>
  <c r="R12" i="10" a="1"/>
  <c r="R12" i="10"/>
  <c r="L3" i="17"/>
  <c r="L6" i="17"/>
  <c r="L7" i="17"/>
  <c r="L11" i="17"/>
  <c r="L12" i="17"/>
  <c r="L13" i="17"/>
  <c r="L2" i="17"/>
  <c r="I5" i="17"/>
  <c r="G5" i="17"/>
  <c r="D14" i="17"/>
  <c r="I11" i="17"/>
  <c r="G11" i="17"/>
  <c r="H11" i="17"/>
  <c r="I9" i="17"/>
  <c r="G9" i="17"/>
  <c r="H9" i="17"/>
  <c r="I12" i="17"/>
  <c r="G12" i="17"/>
  <c r="H12" i="17"/>
  <c r="J13" i="17"/>
  <c r="K13" i="17"/>
  <c r="J12" i="17"/>
  <c r="K12" i="17"/>
  <c r="H5" i="17"/>
  <c r="J11" i="17"/>
  <c r="K11" i="17"/>
  <c r="I2" i="17"/>
  <c r="G2" i="17"/>
  <c r="H2" i="17"/>
  <c r="J7" i="17"/>
  <c r="K7" i="17"/>
  <c r="J6" i="17"/>
  <c r="K6" i="17"/>
  <c r="I3" i="17"/>
  <c r="G3" i="17"/>
  <c r="H3" i="17"/>
  <c r="J3" i="17"/>
  <c r="K3" i="17"/>
  <c r="I4" i="17"/>
  <c r="G4" i="17"/>
  <c r="H4" i="17"/>
  <c r="I7" i="17"/>
  <c r="G7" i="17"/>
  <c r="H7" i="17"/>
  <c r="J2" i="17"/>
  <c r="K2" i="17"/>
  <c r="P3" i="10" a="1"/>
  <c r="P3" i="10"/>
  <c r="D6" i="10" a="1"/>
  <c r="D6" i="10"/>
  <c r="B24" i="1"/>
  <c r="E7" i="10"/>
  <c r="D3" i="10" a="1"/>
  <c r="D3" i="10"/>
  <c r="K4" i="11"/>
  <c r="G3" i="11"/>
  <c r="G4" i="11"/>
  <c r="G7" i="11"/>
  <c r="G8" i="11"/>
  <c r="G9" i="11"/>
  <c r="E9" i="11"/>
  <c r="E8" i="11"/>
  <c r="E7" i="11"/>
  <c r="E4" i="11"/>
  <c r="E3" i="11"/>
  <c r="R13" i="10" a="1"/>
  <c r="R13" i="10"/>
  <c r="P13" i="10" a="1"/>
  <c r="P13" i="10"/>
  <c r="P12" i="10" a="1"/>
  <c r="P12" i="10"/>
  <c r="R11" i="10" a="1"/>
  <c r="R11" i="10"/>
  <c r="P11" i="10" a="1"/>
  <c r="P11" i="10"/>
  <c r="R10" i="10" a="1"/>
  <c r="R10" i="10"/>
  <c r="P10" i="10" a="1"/>
  <c r="P10" i="10"/>
  <c r="R9" i="10" a="1"/>
  <c r="R9" i="10"/>
  <c r="P9" i="10" a="1"/>
  <c r="P9" i="10"/>
  <c r="R8" i="10" a="1"/>
  <c r="R8" i="10"/>
  <c r="P8" i="10" a="1"/>
  <c r="P8" i="10"/>
  <c r="R7" i="10" a="1"/>
  <c r="R7" i="10"/>
  <c r="P7" i="10" a="1"/>
  <c r="P7" i="10"/>
  <c r="R6" i="10" a="1"/>
  <c r="R6" i="10"/>
  <c r="P6" i="10" a="1"/>
  <c r="P6" i="10"/>
  <c r="P4" i="10" a="1"/>
  <c r="P4" i="10"/>
  <c r="R3" i="10" a="1"/>
  <c r="R3" i="10"/>
  <c r="R14" i="10" a="1"/>
  <c r="R14" i="10"/>
  <c r="P14" i="10" a="1"/>
  <c r="P14" i="10"/>
  <c r="L14" i="10" a="1"/>
  <c r="L14" i="10"/>
  <c r="J14" i="10" a="1"/>
  <c r="J14" i="10"/>
  <c r="J12" i="10" a="1"/>
  <c r="J12" i="10"/>
  <c r="L11" i="10" a="1"/>
  <c r="L11" i="10"/>
  <c r="J11" i="10" a="1"/>
  <c r="J11" i="10"/>
  <c r="L10" i="10" a="1"/>
  <c r="L10" i="10"/>
  <c r="J10" i="10" a="1"/>
  <c r="J10" i="10"/>
  <c r="L9" i="10" a="1"/>
  <c r="L9" i="10"/>
  <c r="J9" i="10" a="1"/>
  <c r="J9" i="10"/>
  <c r="L8" i="10" a="1"/>
  <c r="L8" i="10"/>
  <c r="J8" i="10" a="1"/>
  <c r="J8" i="10"/>
  <c r="L7" i="10" a="1"/>
  <c r="L7" i="10"/>
  <c r="J7" i="10" a="1"/>
  <c r="J7" i="10"/>
  <c r="L6" i="10" a="1"/>
  <c r="L6" i="10"/>
  <c r="J6" i="10" a="1"/>
  <c r="J6" i="10"/>
  <c r="L5" i="10" a="1"/>
  <c r="L5" i="10"/>
  <c r="J5" i="10" a="1"/>
  <c r="J5" i="10"/>
  <c r="L4" i="10" a="1"/>
  <c r="L4" i="10"/>
  <c r="J4" i="10" a="1"/>
  <c r="J4" i="10"/>
  <c r="L3" i="10" a="1"/>
  <c r="L3" i="10"/>
  <c r="J3" i="10" a="1"/>
  <c r="J3" i="10"/>
  <c r="F14" i="10" a="1"/>
  <c r="F14" i="10"/>
  <c r="D14" i="10" a="1"/>
  <c r="D14" i="10"/>
  <c r="F13" i="10" a="1"/>
  <c r="F13" i="10"/>
  <c r="D13" i="10" a="1"/>
  <c r="D13" i="10"/>
  <c r="R15" i="10" a="1"/>
  <c r="R15" i="10"/>
  <c r="P15" i="10" a="1"/>
  <c r="P15" i="10"/>
  <c r="F12" i="10" a="1"/>
  <c r="F12" i="10"/>
  <c r="D12" i="10" a="1"/>
  <c r="D12" i="10"/>
  <c r="F11" i="10" a="1"/>
  <c r="F11" i="10"/>
  <c r="D11" i="10" a="1"/>
  <c r="D11" i="10"/>
  <c r="F10" i="10" a="1"/>
  <c r="F10" i="10"/>
  <c r="D10" i="10" a="1"/>
  <c r="D10" i="10"/>
  <c r="F9" i="10" a="1"/>
  <c r="F9" i="10"/>
  <c r="D9" i="10" a="1"/>
  <c r="D9" i="10"/>
  <c r="F8" i="10" a="1"/>
  <c r="F8" i="10"/>
  <c r="D8" i="10" a="1"/>
  <c r="D8" i="10"/>
  <c r="F7" i="10" a="1"/>
  <c r="F7" i="10"/>
  <c r="D7" i="10" a="1"/>
  <c r="D7" i="10"/>
  <c r="F6" i="10" a="1"/>
  <c r="F6" i="10"/>
  <c r="F5" i="10" a="1"/>
  <c r="F5" i="10"/>
  <c r="F4" i="10" a="1"/>
  <c r="F4" i="10"/>
  <c r="D4" i="10" a="1"/>
  <c r="D4" i="10"/>
  <c r="F3" i="10" a="1"/>
  <c r="F3" i="10"/>
  <c r="E8" i="5"/>
  <c r="M4" i="5"/>
  <c r="J4" i="5"/>
  <c r="I4" i="5"/>
  <c r="E4" i="5"/>
  <c r="E9" i="2"/>
  <c r="F4" i="4"/>
  <c r="H2" i="4"/>
  <c r="H3" i="4"/>
  <c r="H4" i="4"/>
  <c r="D3" i="4"/>
  <c r="D4" i="4"/>
  <c r="I3" i="4"/>
  <c r="K3" i="4"/>
  <c r="J3" i="4"/>
  <c r="K2" i="4"/>
  <c r="J2" i="4"/>
  <c r="M4" i="2"/>
  <c r="J4" i="2"/>
  <c r="I4" i="2"/>
  <c r="E4" i="2"/>
  <c r="G8" i="2"/>
  <c r="B18" i="1"/>
  <c r="E10" i="10"/>
  <c r="H4" i="5"/>
  <c r="B2" i="1"/>
  <c r="K4" i="10"/>
  <c r="E8" i="2"/>
  <c r="D4" i="5"/>
  <c r="E4" i="4"/>
  <c r="K4" i="5"/>
  <c r="K4" i="2"/>
  <c r="F8" i="2"/>
  <c r="D4" i="2"/>
  <c r="E7" i="5"/>
  <c r="E9" i="5"/>
  <c r="G3" i="4"/>
  <c r="C4" i="4"/>
  <c r="G2" i="4"/>
  <c r="I2" i="4"/>
  <c r="I4" i="4"/>
  <c r="J4" i="4"/>
  <c r="K4" i="4"/>
  <c r="L3" i="4"/>
  <c r="G4" i="4"/>
  <c r="B8" i="5" a="1"/>
  <c r="B8" i="5"/>
  <c r="B8" i="2" a="1"/>
  <c r="B8" i="2"/>
  <c r="H8" i="2"/>
  <c r="G7" i="5"/>
  <c r="L4" i="2"/>
  <c r="L4" i="5"/>
  <c r="F10" i="2"/>
  <c r="E10" i="2"/>
  <c r="G12" i="2"/>
  <c r="H4" i="2"/>
  <c r="F7" i="5"/>
  <c r="L2" i="4"/>
  <c r="F4" i="5"/>
  <c r="E14" i="17"/>
  <c r="F6" i="17"/>
  <c r="Q4" i="10"/>
  <c r="E5" i="10"/>
  <c r="G5" i="10"/>
  <c r="Q5" i="10"/>
  <c r="S5" i="10"/>
  <c r="K6" i="10"/>
  <c r="M6" i="10"/>
  <c r="K13" i="10"/>
  <c r="Q9" i="10"/>
  <c r="S9" i="10"/>
  <c r="Q8" i="10"/>
  <c r="S8" i="10"/>
  <c r="K11" i="10"/>
  <c r="M11" i="10"/>
  <c r="Q6" i="10"/>
  <c r="S6" i="10"/>
  <c r="F7" i="17"/>
  <c r="F2" i="17"/>
  <c r="F12" i="17"/>
  <c r="F5" i="17"/>
  <c r="F11" i="17"/>
  <c r="F4" i="17"/>
  <c r="F3" i="17"/>
  <c r="F9" i="17"/>
  <c r="E6" i="10"/>
  <c r="G6" i="10"/>
  <c r="E3" i="10"/>
  <c r="G3" i="10"/>
  <c r="Q11" i="10"/>
  <c r="S11" i="10"/>
  <c r="K3" i="10"/>
  <c r="M3" i="10"/>
  <c r="Q7" i="10"/>
  <c r="S7" i="10"/>
  <c r="Q13" i="10"/>
  <c r="S13" i="10"/>
  <c r="K9" i="10"/>
  <c r="M9" i="10"/>
  <c r="E12" i="10"/>
  <c r="G12" i="10"/>
  <c r="Q12" i="10"/>
  <c r="S12" i="10"/>
  <c r="Q15" i="10"/>
  <c r="S15" i="10"/>
  <c r="Q10" i="10"/>
  <c r="S10" i="10"/>
  <c r="G7" i="10"/>
  <c r="G11" i="10"/>
  <c r="G14" i="10"/>
  <c r="M10" i="10"/>
  <c r="S14" i="10"/>
  <c r="S3" i="10"/>
  <c r="G8" i="10"/>
  <c r="M7" i="10"/>
  <c r="M13" i="10"/>
  <c r="G9" i="10"/>
  <c r="M4" i="10"/>
  <c r="M8" i="10"/>
  <c r="M12" i="10"/>
  <c r="S4" i="10"/>
  <c r="G4" i="10"/>
  <c r="G10" i="10"/>
  <c r="M5" i="10"/>
  <c r="M14" i="10"/>
  <c r="G13" i="10"/>
  <c r="S17" i="10"/>
  <c r="D5" i="11"/>
  <c r="E5" i="11"/>
  <c r="D6" i="11"/>
  <c r="E6" i="11"/>
  <c r="G5" i="11"/>
  <c r="G6" i="11"/>
  <c r="F13" i="17"/>
  <c r="F10" i="17"/>
  <c r="F8" i="17"/>
  <c r="F14" i="17"/>
  <c r="S18" i="10"/>
  <c r="S19" i="10"/>
  <c r="K4" i="17"/>
  <c r="K5" i="17"/>
  <c r="K9" i="17"/>
  <c r="K8" i="17"/>
  <c r="K10" i="17"/>
  <c r="G14" i="17"/>
  <c r="B40" i="1"/>
  <c r="S21" i="10"/>
  <c r="F9" i="5"/>
  <c r="G8" i="5"/>
  <c r="G9" i="2"/>
  <c r="G10" i="2"/>
  <c r="B42" i="1"/>
  <c r="H9" i="2"/>
  <c r="F8" i="5"/>
  <c r="G4" i="2"/>
  <c r="G4" i="5"/>
  <c r="B4" i="2" a="1"/>
  <c r="B4" i="2"/>
  <c r="B12" i="2" a="1"/>
  <c r="B12" i="2"/>
  <c r="O1" i="17"/>
  <c r="B12" i="5" a="1"/>
  <c r="B12" i="5"/>
  <c r="B4" i="5" a="1"/>
  <c r="B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Steven Zarichney</author>
  </authors>
  <commentList>
    <comment ref="C1" authorId="0" shapeId="0" xr:uid="{5A9BD156-C64A-49FD-BF72-722237229AD7}">
      <text>
        <r>
          <rPr>
            <sz val="10"/>
            <color rgb="FF000000"/>
            <rFont val="Arial"/>
            <family val="2"/>
          </rPr>
          <t>We can purchase the goods on this day when the cash has been pushed from the checkings to savings</t>
        </r>
      </text>
    </comment>
    <comment ref="D5" authorId="1" shapeId="0" xr:uid="{B568C27E-DA28-4DC8-A268-270CA5FA439D}">
      <text>
        <r>
          <rPr>
            <sz val="11"/>
            <color theme="1"/>
            <rFont val="Calibri"/>
            <family val="2"/>
            <scheme val="minor"/>
          </rPr>
          <t>How this works:
1. Theses are monthly accrual sessions, the amount targetted changes month by month by putting all the monthly leftovers into this accrual entry
2. Budgetted is &lt;whats_been_accumulated&gt; + &lt;whats to be accumulated&gt;
3. On a monthly reset, add the &lt;budget_amount&gt; + &lt;monthly_contribution&gt; into the &lt;deposit_value&gt; and increment the start/end date.
4. Ensure monthly leftovers gets back to 0, incrementing/decrementing the budgeted amount accordingly</t>
        </r>
      </text>
    </comment>
    <comment ref="E5" authorId="1" shapeId="0" xr:uid="{6AE71DC2-F93B-491D-9A18-46CF813430FE}">
      <text>
        <r>
          <rPr>
            <sz val="11"/>
            <color theme="1"/>
            <rFont val="Calibri"/>
            <family val="2"/>
            <scheme val="minor"/>
          </rPr>
          <t>How this works:
1. Theses are monthly accrual sessions, the amount targetted changes month by month by putting all the monthly leftovers into this accrual entry
2. Budgetted is &lt;whats_been_accumulated&gt; + &lt;whats to be accumulated&gt;
3. On a monthly reset, add the &lt;budget_amount&gt; + &lt;monthly_contribution&gt; into the &lt;deposit_value&gt; and increment the start/end date.
4. Ensure monthly leftovers gets back to 0, incrementing/decrementing the budgeted amount accordingly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sv1748" description="Connection to the 'csv1748' query in the workbook." type="5" refreshedVersion="8" background="1" saveData="1">
    <dbPr connection="Provider=Microsoft.Mashup.OleDb.1;Data Source=$Workbook$;Location=csv1748;Extended Properties=&quot;&quot;" command="SELECT * FROM [csv1748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<sst xmlns="http://schemas.openxmlformats.org/spreadsheetml/2006/main" count="11394" uniqueCount="3898">
  <si>
    <t>Total
Expenses</t>
  </si>
  <si>
    <t>Budget Per Category</t>
  </si>
  <si>
    <t>Home</t>
  </si>
  <si>
    <t>Vehicle</t>
  </si>
  <si>
    <t>Travel</t>
  </si>
  <si>
    <t>Accruals</t>
  </si>
  <si>
    <t>Investments</t>
  </si>
  <si>
    <t>Food</t>
  </si>
  <si>
    <t>Shopping</t>
  </si>
  <si>
    <t>Leisure</t>
  </si>
  <si>
    <t>Personal</t>
  </si>
  <si>
    <t>Other</t>
  </si>
  <si>
    <t>Total
Income</t>
  </si>
  <si>
    <t>Need</t>
  </si>
  <si>
    <t>Want</t>
  </si>
  <si>
    <t>Total</t>
  </si>
  <si>
    <t>Chequing</t>
  </si>
  <si>
    <t>Saving</t>
  </si>
  <si>
    <t>Balance</t>
  </si>
  <si>
    <t>Budgeted Per Category</t>
  </si>
  <si>
    <t>Smart</t>
  </si>
  <si>
    <t>Month</t>
  </si>
  <si>
    <t>Year</t>
  </si>
  <si>
    <t>Chequings</t>
  </si>
  <si>
    <t>Savings</t>
  </si>
  <si>
    <t>Rollover</t>
  </si>
  <si>
    <t>Budgeted</t>
  </si>
  <si>
    <t>Spent</t>
  </si>
  <si>
    <t>Remaining</t>
  </si>
  <si>
    <t>Auto Insurance</t>
  </si>
  <si>
    <t>Home Insurance</t>
  </si>
  <si>
    <t>Vacation Fund</t>
  </si>
  <si>
    <t>Car Fuel</t>
  </si>
  <si>
    <t>Mortgage</t>
  </si>
  <si>
    <t>Weekend Trips</t>
  </si>
  <si>
    <t>Internet Bill</t>
  </si>
  <si>
    <t>Sewer/Water</t>
  </si>
  <si>
    <t>Electronics Fund</t>
  </si>
  <si>
    <t>?</t>
  </si>
  <si>
    <t>Phone Bills</t>
  </si>
  <si>
    <t>Allowances</t>
  </si>
  <si>
    <t>Date Night</t>
  </si>
  <si>
    <t>Subscriptions</t>
  </si>
  <si>
    <t>Gym</t>
  </si>
  <si>
    <t>Clothes</t>
  </si>
  <si>
    <t>Weed</t>
  </si>
  <si>
    <t>Lottery</t>
  </si>
  <si>
    <t>Gifts</t>
  </si>
  <si>
    <t>Misc Fees</t>
  </si>
  <si>
    <t>RRSP</t>
  </si>
  <si>
    <t>Alcohol</t>
  </si>
  <si>
    <t>Private Insurances</t>
  </si>
  <si>
    <t>Personal Care</t>
  </si>
  <si>
    <t>RV Fund</t>
  </si>
  <si>
    <t>Fast Food</t>
  </si>
  <si>
    <t>Cat Fund</t>
  </si>
  <si>
    <t>Car Maintenance</t>
  </si>
  <si>
    <t>Grocery</t>
  </si>
  <si>
    <t>Shopping Fund</t>
  </si>
  <si>
    <t>Entertainment</t>
  </si>
  <si>
    <t>Heat/Gas</t>
  </si>
  <si>
    <t>Business Line</t>
  </si>
  <si>
    <t>Bar Night</t>
  </si>
  <si>
    <t>Hydro</t>
  </si>
  <si>
    <t>Land Taxes</t>
  </si>
  <si>
    <t>House Fund</t>
  </si>
  <si>
    <t>Health</t>
  </si>
  <si>
    <t xml:space="preserve">                                              </t>
  </si>
  <si>
    <t>Subtotal</t>
  </si>
  <si>
    <t>Accrued</t>
  </si>
  <si>
    <t>Bank Amount</t>
  </si>
  <si>
    <t>Melissa Loan</t>
  </si>
  <si>
    <t>Expense Type</t>
  </si>
  <si>
    <t>Budget</t>
  </si>
  <si>
    <t>Category</t>
  </si>
  <si>
    <t>Required</t>
  </si>
  <si>
    <t>Account</t>
  </si>
  <si>
    <t>Init</t>
  </si>
  <si>
    <t>MLB</t>
  </si>
  <si>
    <t>Ignore</t>
  </si>
  <si>
    <t>Partner</t>
  </si>
  <si>
    <t>Source</t>
  </si>
  <si>
    <t>Salary</t>
  </si>
  <si>
    <t>Gross</t>
  </si>
  <si>
    <t>Net</t>
  </si>
  <si>
    <t>Hours</t>
  </si>
  <si>
    <t>Hourly Rate</t>
  </si>
  <si>
    <t>Income Rate</t>
  </si>
  <si>
    <t>Deductions</t>
  </si>
  <si>
    <t>Monthly</t>
  </si>
  <si>
    <t>Yearly</t>
  </si>
  <si>
    <t>Column1</t>
  </si>
  <si>
    <t>Steven</t>
  </si>
  <si>
    <t>Paycheck</t>
  </si>
  <si>
    <t>Melissa</t>
  </si>
  <si>
    <t>Totals or Average:</t>
  </si>
  <si>
    <t>Item</t>
  </si>
  <si>
    <t>Start
Date</t>
  </si>
  <si>
    <t>Finish
Date</t>
  </si>
  <si>
    <t>Deposit</t>
  </si>
  <si>
    <t>Accrued
To Date</t>
  </si>
  <si>
    <t>Monthly
Contribution</t>
  </si>
  <si>
    <t>Months
Accrued</t>
  </si>
  <si>
    <t>Months Start
To End</t>
  </si>
  <si>
    <t>Days
Accrued</t>
  </si>
  <si>
    <t>Starting Next
Month</t>
  </si>
  <si>
    <t>Ended</t>
  </si>
  <si>
    <t>Monthly
Leftover</t>
  </si>
  <si>
    <t>Tub Maintenance - quote needed</t>
  </si>
  <si>
    <t>Appliances</t>
  </si>
  <si>
    <t>this number as of 30/11/2025: 347.43</t>
  </si>
  <si>
    <t>Melissa Loan Repay</t>
  </si>
  <si>
    <t>Surplus Fund :)</t>
  </si>
  <si>
    <t>Shane Wedding Fund</t>
  </si>
  <si>
    <t>Sliding Patio Door</t>
  </si>
  <si>
    <t>Frank Wedding Fund</t>
  </si>
  <si>
    <t xml:space="preserve">Mattress </t>
  </si>
  <si>
    <t>Extra Month Bank Cushion</t>
  </si>
  <si>
    <t>Vehicle Deposit</t>
  </si>
  <si>
    <t>Brandon Wedding Fund</t>
  </si>
  <si>
    <t>ID</t>
  </si>
  <si>
    <t>Date</t>
  </si>
  <si>
    <t>Amount</t>
  </si>
  <si>
    <t>Description</t>
  </si>
  <si>
    <t>Memo</t>
  </si>
  <si>
    <t>4204f7491c41d61827487eaaf47b33ef8f73328e321a05887528527074480053</t>
  </si>
  <si>
    <t>Credit Line (7001)</t>
  </si>
  <si>
    <t xml:space="preserve">WWW TFR TIN0-08127 </t>
  </si>
  <si>
    <t>040b39a142ced30b25698ae2e75a838a4d0599988ced4b9b3561e21f11e9769f</t>
  </si>
  <si>
    <t xml:space="preserve">WWW PMT TIN0-06504 </t>
  </si>
  <si>
    <t>80d1e18e5da3456892bcb9540ecc617e42694833d0090cc0bf286eec590a6d99</t>
  </si>
  <si>
    <t xml:space="preserve">WWW TFR TIN0-07556 </t>
  </si>
  <si>
    <t>439075b680849869b8d6a01a7badc318c3056578e8a04e4c720e304d73635934</t>
  </si>
  <si>
    <t>INTEREST PAYMENT 81.67</t>
  </si>
  <si>
    <t>36b0dc76a91aeeb71037264ae3330b2d95735fed2cd64401564cd45827e6313f</t>
  </si>
  <si>
    <t>LOANPROTECTOR INSURANCE PREMIUM 8.28</t>
  </si>
  <si>
    <t>47d0f2255d221bd4f22f1b99eb878e09d038eda76d022e9b47be93cfa8b68ffc</t>
  </si>
  <si>
    <t xml:space="preserve">WWW PMT TIN0-03778 </t>
  </si>
  <si>
    <t>94329474b1b1f472f109ec60c15accfbf1c7a1738fd03bc41121b1f65057d64f</t>
  </si>
  <si>
    <t xml:space="preserve">WWW TFR TIN0-09559 </t>
  </si>
  <si>
    <t>10e4e1d138b5ac14e4709d508713e8dd481a51d83ea2775c025c1027e5c59bd4</t>
  </si>
  <si>
    <t>INTEREST PAYMENT 99.28</t>
  </si>
  <si>
    <t>19d623ca5a5e8b14b37b371a04f96de323b90f89f3e64da7a237354518116261</t>
  </si>
  <si>
    <t>LOANPROTECTOR INSURANCE PREMIUM 10.08</t>
  </si>
  <si>
    <t>7cf3a7950e670064f09144c39e59ff88e5c7750e840e6c535a8b9996170ef6dc</t>
  </si>
  <si>
    <t xml:space="preserve">WWW PMT TIN0-02373 </t>
  </si>
  <si>
    <t>Shared Savings (9290)</t>
  </si>
  <si>
    <t>etransfer from savings to steven for xmas date (dollarama + sobeys + pizza pizza)</t>
  </si>
  <si>
    <t>To be deleted with actual transaction record matching this amount</t>
  </si>
  <si>
    <t>6965f6f7d765585662aeeb5518db0bf08f1e98beef77293b27f984049ac0b89c</t>
  </si>
  <si>
    <t>INTEREST PAYMENT 87.45</t>
  </si>
  <si>
    <t>7e072ea4b8a9054213f0d7382ac8617a1cf95c54148066866016a6922458dee2</t>
  </si>
  <si>
    <t>LOANPROTECTOR INSURANCE PREMIUM 8.88</t>
  </si>
  <si>
    <t>2ba5fbacde633be4754b316bd5d68bc6a67a225f2a1e5a07cadc378fbd985618</t>
  </si>
  <si>
    <t xml:space="preserve">WWW PMT TIN0-05949 </t>
  </si>
  <si>
    <t>bd39a0650ed3a3394adf405af30cfee9f5c0b69b32105311db653e9fca46a22d</t>
  </si>
  <si>
    <t>INTEREST PAYMENT 79.41</t>
  </si>
  <si>
    <t>88cf71a7de9449ee2765e0c484fc8982f574f74f90e97fa7648af5a82f71c54e</t>
  </si>
  <si>
    <t>LOANPROTECTOR INSURANCE PREMIUM 8.07</t>
  </si>
  <si>
    <t>c351bea88f86241a0c1e976da997091a13b323478f47e68fea786b50dbf8c561</t>
  </si>
  <si>
    <t>Shared Chequings (6838)</t>
  </si>
  <si>
    <t xml:space="preserve">INVESTMENT IG FIN SER SFGI </t>
  </si>
  <si>
    <t>fb38166c3b634d5fd63faaf55f0628dfa958c820d1e4151114f38732b11e56e4</t>
  </si>
  <si>
    <t xml:space="preserve">MISC PAYMENT Fit4less </t>
  </si>
  <si>
    <t>1aca83f831d0510becef42c72394bffcf95f28f7594fa408004daa93f5b0cfb8</t>
  </si>
  <si>
    <t xml:space="preserve">WWW TRF DDA - 4791 </t>
  </si>
  <si>
    <t>43147baac32118c66a89008d81b6e84236198ec9ddcbb70b4ef3f4fe5292ba7a</t>
  </si>
  <si>
    <t xml:space="preserve">AUTO INSURANCE ALLSTATE INS. </t>
  </si>
  <si>
    <t>5276906ccd4297a677cdf03dd2c85df62a85d44e4dc7e725af375d7b6595e3ac</t>
  </si>
  <si>
    <t xml:space="preserve">MISC PAYMENT MORTGAGE PAYMEN </t>
  </si>
  <si>
    <t>5a5f085c3c6bdea35357567bc2a1c58e219c175c6829db1ec974c8042de46b4c</t>
  </si>
  <si>
    <t xml:space="preserve">PAYROLL DEPOSIT Thinking Big In </t>
  </si>
  <si>
    <t>6e6692899146d41758d61f5a4ef24e6544b1f200842c95f4c602aca7ea84393a</t>
  </si>
  <si>
    <t xml:space="preserve">MUTUAL FUNDS SPECIAL DEPOSIT </t>
  </si>
  <si>
    <t>72d36ea63839de625b9182edcc3a22021c9c5661dac5d824fb8c647961f73074</t>
  </si>
  <si>
    <t xml:space="preserve">DEPOSIT INTEREST </t>
  </si>
  <si>
    <t>fa71bb37745e29990ed04372105ccbcd2f44c0c48046eea8c5d48bed483925e8</t>
  </si>
  <si>
    <t xml:space="preserve">Transfer WWW TRANSFER - 3937 </t>
  </si>
  <si>
    <t>b30480df0d64aa5acd4d32e85bff030380f2e9cf9da6f4c41e9b3b703da7bc01</t>
  </si>
  <si>
    <t xml:space="preserve">WWW PMT TIN0-03935 </t>
  </si>
  <si>
    <t>ebecddd98df2c6a184434b30f8832adeb56485ee341cbe4a600f0107384df98f</t>
  </si>
  <si>
    <t xml:space="preserve">WWW TRF DDA - 1754 </t>
  </si>
  <si>
    <t>607e457efae11d5d049b6439d1d650a0d494ed275bc2e1f18ff61fa2bbc2b9ce</t>
  </si>
  <si>
    <t xml:space="preserve">WWW TRF DDA - 3936 </t>
  </si>
  <si>
    <t>4af7d20f92075d515be3240af000ad0d64e6ce798e1494026204668a46ffb316</t>
  </si>
  <si>
    <t xml:space="preserve">WWW TRF DDA - 3937 </t>
  </si>
  <si>
    <t>55b0b40eaa8dff0f528ef7f254b62414d26aa84c40f8a1f1e01452bb6ceb21cf</t>
  </si>
  <si>
    <t>Credit Line</t>
  </si>
  <si>
    <t xml:space="preserve">Loan Pmt WWW LOAN PMT - 3935 </t>
  </si>
  <si>
    <t>6b7830fdcbac6a62ea2a723ddd464f89d6196063695618794f451fd5aefe765a</t>
  </si>
  <si>
    <t xml:space="preserve">PAYROLL DEPOSIT ClaimSecure Inc </t>
  </si>
  <si>
    <t>e6c90044d8bc39b07f7c3a3283686c96f4c6d8fac9794f2337dff144ea8db20e</t>
  </si>
  <si>
    <t xml:space="preserve">Transfer WWW TRANSFER - 6013 </t>
  </si>
  <si>
    <t>cf21d5dd8c5aa7d30134cd0147df7e0c27522c09b692d5b7252682ca30c3af92</t>
  </si>
  <si>
    <t xml:space="preserve">WWW TRF DDA - 6013 </t>
  </si>
  <si>
    <t>022f8d0fef18f4b5151446a487d44e302fc5cada116c9ed69faa21883e1ac106</t>
  </si>
  <si>
    <t xml:space="preserve">PROPERTY INSURANCE ALLSTATE INS. </t>
  </si>
  <si>
    <t>aae1bda439980d80aa0f1afaff077967255aed968b7535af6c246d461a2d9cd7</t>
  </si>
  <si>
    <t>b559d6e780999624ce92f29e8113515b1ba1ea193a5d0bebb4987c34c372a1e6</t>
  </si>
  <si>
    <t xml:space="preserve">LIFE INSURANCE CANLIFE-ING </t>
  </si>
  <si>
    <t>7e21ad689354ba22ef1836e779daf0b735a6086f15d1fcc846c25a3671336339</t>
  </si>
  <si>
    <t xml:space="preserve">E-TRF REQFUL </t>
  </si>
  <si>
    <t>3fff4027fa26f30bc4ecd2e02f942cd623b8bdd1289395ed72a964620e8af100</t>
  </si>
  <si>
    <t>Payment WWW PAYMENT - 4680 NORTH BAY WAT</t>
  </si>
  <si>
    <t>c013bbefce7d67bf8a9a04ce97d8c2db0097bcd6d09b33a2f38075f9caf226a6</t>
  </si>
  <si>
    <t>c5338cfba538b1d9e39a842a793997fbeb7b9dea7ddeee04b289e0f483bf3074</t>
  </si>
  <si>
    <t>a440ab83bc10cd317d50c660648a6a9d8f5880b6712bc79da71705fc2369ab8c</t>
  </si>
  <si>
    <t>bbd59fee9ec2bcc5b36864dcc09e24d021b9ec2320fd068cd198cc6c946b8652</t>
  </si>
  <si>
    <t xml:space="preserve">MISC PAYMENT CITY OF NORTH B </t>
  </si>
  <si>
    <t>371b599a01794ebaab862668682ad3179f62f95328b3cb9123425f18f95c1b5c</t>
  </si>
  <si>
    <t xml:space="preserve">INSURANCE CANADALIFE </t>
  </si>
  <si>
    <t>3ddf4b852502b351aaf9f58e288b0ea3d34a092c670305aa09f46367042fae96</t>
  </si>
  <si>
    <t xml:space="preserve">UTILITY BILL PMT Enbridge Gas </t>
  </si>
  <si>
    <t>25d337a08a0540b64488e7c879546d648f487c75a7f5e4caefddbf41faa8d261</t>
  </si>
  <si>
    <t xml:space="preserve">MISC PAYMENT RBC CREDIT CARD </t>
  </si>
  <si>
    <t>bee74cbbedc4cf8449f7c3db8abd59064bcc1f8c970e374cce04702fc73cad4a</t>
  </si>
  <si>
    <t>98ab3156d671fa3a0645cf6a815362686438e818149d23d372c71da9d41ed91f</t>
  </si>
  <si>
    <t>49b042ec19838105e2fc88d5c74b08744a8f80d59e0b21232e632ff7e8545d99</t>
  </si>
  <si>
    <t>INTEREST PAYMENT 74.37</t>
  </si>
  <si>
    <t>70d36b4f3400c3f3d9503b5b05dbace2244e671b17768ed1342dd2f2334f166a</t>
  </si>
  <si>
    <t xml:space="preserve">LOAN INTEREST </t>
  </si>
  <si>
    <t>3d00cbd3a09c23e0f0ab7cec5cf96bd407308130a4bab5d43424c7cc98d05b68</t>
  </si>
  <si>
    <t>LOANPROTECTOR INSURANCE PREMIUM 7.57</t>
  </si>
  <si>
    <t>f314e802227b80235851ef4a5aa6eca79f828ecc2188779acc2c5b511298c769</t>
  </si>
  <si>
    <t xml:space="preserve">HYDRO BILL PMT NORTH BAY HYDRO </t>
  </si>
  <si>
    <t>0d3b2636044082ec7bb8400da8b2c2aee29e3c889206e82058ccb4a610f8edc3</t>
  </si>
  <si>
    <t>0fbdd024bfb480099ee33b64efb83f878c5ef4b8530e39c84e05caf8f272381e</t>
  </si>
  <si>
    <t>af0fcb4dbdaa17718aebf3cedfc656e4ad79733044ff3c7b59eef24481ed7251</t>
  </si>
  <si>
    <t xml:space="preserve">MONTHLY FEE </t>
  </si>
  <si>
    <t>e1ce087c26b64d89229123d15a4742e5cec52e5400d6a83cc1fdb56ed655abc7</t>
  </si>
  <si>
    <t xml:space="preserve">SERVICE FEE 8EPMT/WD/TFR@$1.25 </t>
  </si>
  <si>
    <t>ae48221e2a2aa61e6db86b90b737348e538233c6da9cf75fd45f1fb47562982c</t>
  </si>
  <si>
    <t>bbb8bfa48559fbca3c389538d01b481f304a74fd32da12eaf18da6fecc054f55</t>
  </si>
  <si>
    <t>011474e8b539232a6d3a12c99e5325f8bf70aa1f2d188528ed4edcb8271a304b</t>
  </si>
  <si>
    <t xml:space="preserve">Transfer WWW TRANSFER - 3559 </t>
  </si>
  <si>
    <t>6187f6d61d1c6c3cad79f337b40dd2eee27d978075d50be1c2a043a0a39e042a</t>
  </si>
  <si>
    <t>a1899af1e6929b064781ad0c18cd3e56c0e9ad569835dbc2367c769197183e8a</t>
  </si>
  <si>
    <t>de46e536256d40089d0b2481d4d3a23d4eebd5697af2c3a845ad5e9a981f4f08</t>
  </si>
  <si>
    <t>f818ce57438f48b4e2e437d559b3d56d0e8d51346e912ca6bc256e15aafefdb4</t>
  </si>
  <si>
    <t xml:space="preserve">Transfer WWW TRANSFER - 6282 </t>
  </si>
  <si>
    <t>bed44db3c4304d287cfc30854554c287d2d867443e5099e5cc626bab52f69bad</t>
  </si>
  <si>
    <t xml:space="preserve">WWW TRF DDA - 6282 </t>
  </si>
  <si>
    <t>4f807aaa0344adefa8be04d06abb18bc9a604aa139a88e678754b9439ba5c330</t>
  </si>
  <si>
    <t xml:space="preserve">WWW PMT TIN0-05216 </t>
  </si>
  <si>
    <t>2c31ef63ffaa45a10dd04c524321cdf876a5691e40751ff4117df8bb7ebcd76f</t>
  </si>
  <si>
    <t xml:space="preserve">Loan Pmt WWW LOAN PMT - 5216 </t>
  </si>
  <si>
    <t>3a092df0c2bffe7863e1213aa4019252b2bdb579e3fa81450e6fe03fb9818390</t>
  </si>
  <si>
    <t xml:space="preserve">WWW TRF DDA - 5217 </t>
  </si>
  <si>
    <t>730cf716d9bfea64210e6123af4b85fb5912b1c7c5aeaf9dd31d37fe93aae1ad</t>
  </si>
  <si>
    <t>Shared Visa (3292)</t>
  </si>
  <si>
    <t xml:space="preserve">FIRE &amp; FLOWER NORTH BAY ON </t>
  </si>
  <si>
    <t>91e5ecef1b0c71d8aaf6c17e999e399ca78cc027a3baebf9b8f2c2e3b33f6ed6</t>
  </si>
  <si>
    <t xml:space="preserve">AMZN Mktp CA*R29A67282 WWW.AMAZON.CAON </t>
  </si>
  <si>
    <t>e500191f6ac7f72c6e342be9f9249e490467daff5c04a00e8ee65ff505a6f5c0</t>
  </si>
  <si>
    <t xml:space="preserve">Vistaprint Canada Corp Toronto ON </t>
  </si>
  <si>
    <t>b3845ecce16df1d80da8c7ad246cbf7d4d4098fa3832762339e77a272547aa36</t>
  </si>
  <si>
    <t xml:space="preserve">CDN TIRE STORE #00072 NORTH BAY ON </t>
  </si>
  <si>
    <t>9aa303a5f12b5032e45bd126d22195ab885c79afa220dbe15031b50e613ba6e0</t>
  </si>
  <si>
    <t xml:space="preserve">THE HOME DEPOT #7160 NORTH BAY ON </t>
  </si>
  <si>
    <t>0aa6b3e2a35572b85554455f52f51de1443b40aa900921b5920b530556b960ef</t>
  </si>
  <si>
    <t xml:space="preserve">MR. SUB/ COUNTRY STYLE #3NORTH BAY ON </t>
  </si>
  <si>
    <t>9a126180e52696d5ef9480f0a17e9726fd97dee4268f51cc5aa808bcba9be2fd</t>
  </si>
  <si>
    <t xml:space="preserve">TIM HORTONS #0674 NORTH BAY ON </t>
  </si>
  <si>
    <t>7543421a44964a69ebdaf77133c20f80461e543f26acb278587d3ff9d8e1e5b5</t>
  </si>
  <si>
    <t>d45cfa9ab4c7f0e8acf4d91df0a8d43e0ec92c3199379c18dbd3159fb8952bad</t>
  </si>
  <si>
    <t xml:space="preserve">EAGLES NEST GAS BAR NORTH BAY ON </t>
  </si>
  <si>
    <t>318f8e4dc812885e2e26ac5249ecc8f94ce71c8359af2af2b151bcd963d9bad5</t>
  </si>
  <si>
    <t>b1af943a6a2abb3335af6ea06b0703ae7d860b0c0a87e0989273de651212bb7b</t>
  </si>
  <si>
    <t xml:space="preserve">NORTH BAY REGIONAL HEALTH705-495-8125 ON </t>
  </si>
  <si>
    <t>630195ee97bedb21e412ce717f380414459bd689f0725b9556464863c09190c6</t>
  </si>
  <si>
    <t xml:space="preserve">Transfer WWW TRANSFER - 8861 </t>
  </si>
  <si>
    <t>f3ab87920a112421e2a966b9edd41c9084bef80f35a3a2ac598ac669dc0951ca</t>
  </si>
  <si>
    <t xml:space="preserve">WWW TRF DDA - 8861 </t>
  </si>
  <si>
    <t>7d5a173990945776ccb4084f895159101de1cd7b06d0b33baea72a381ae43201</t>
  </si>
  <si>
    <t>0b634022526e79bf5b79a039876d6ec73cb6cde57b116140fc2f3aaf98ead4bc</t>
  </si>
  <si>
    <t xml:space="preserve">WWW TRF DDA - 4675 </t>
  </si>
  <si>
    <t>fcd779b3070c0e53bf9f6a44489dfd732a22b93c8430b52acc3f7842eb4b06e0</t>
  </si>
  <si>
    <t>357d345823c2c43b04a9340f16b3183b385543a3d7938e09f146995d12994ec8</t>
  </si>
  <si>
    <t xml:space="preserve">GOOGLE *YouTubePremium g.co/helppay#NS </t>
  </si>
  <si>
    <t>24d00da5a4f7b081b4cf3fe5648d34a41d30c7ae28364294a484a2a26699d798</t>
  </si>
  <si>
    <t>Steve's life insurance</t>
  </si>
  <si>
    <t>4e4c9b74ddcd430f4980ee6be15d83821d28b6c10c2eb5d5ac3588e977ebffe5</t>
  </si>
  <si>
    <t xml:space="preserve">WAL-MART SUPERCENTER#3063NORTH BAY ON </t>
  </si>
  <si>
    <t>520a7e51ff0f3fd2d925e4b9d39a1ebbcaababaa9c0fa9e3cd2d32bee6a5c3d4</t>
  </si>
  <si>
    <t>2eb23847ab800094218b6ea594ef08f997a86e9804a0d447ae773470bd6183a7</t>
  </si>
  <si>
    <t xml:space="preserve">VIRGIN PLUS VERDUN QC </t>
  </si>
  <si>
    <t>cfbc564116025c8f6b541712f031da1f1d7a89b7e9d30a36de4cf728ded21ac4</t>
  </si>
  <si>
    <t>f90d5ddd48a1dc776cde86436aff75db09bb8bba884207dce0e462a2940c5506</t>
  </si>
  <si>
    <t xml:space="preserve">SOBEYS #715 NORTH BAY ON </t>
  </si>
  <si>
    <t>db02da299527f06ddf9da392794b74b7c8c9131ac6040a46f5081639a3668909</t>
  </si>
  <si>
    <t>Payment WWW PAYMENT - 7074 NORTH BAY WAT</t>
  </si>
  <si>
    <t>d01710ea01bcf0ff2be41bffa724ca68b92d6801250593a345b153f10263e471</t>
  </si>
  <si>
    <t>3da451d4678209f030de1eba59abc5ccde138eb2995928d26a62959b09f61b29</t>
  </si>
  <si>
    <t xml:space="preserve">B.Y TAKE OUT NORTH BAY ON </t>
  </si>
  <si>
    <t>2bd5c0abcc96ed278b3863025bf5b425e71e40b048a1bcbf89ebe275d123030b</t>
  </si>
  <si>
    <t>Critical illness</t>
  </si>
  <si>
    <t>ec130f7198722071a9e79a95e82ea3e95eaf3b820ab3ca59d8075371050ac82d</t>
  </si>
  <si>
    <t>0174e8df94bf7d2958950d4b218f0aaf04a5bddbfa56a5b89770a490753659e2</t>
  </si>
  <si>
    <t>Done</t>
  </si>
  <si>
    <t>12e83900a72e42d4dcf9cbc319a70bb1271af0f9f537759f950ea344edee96ce</t>
  </si>
  <si>
    <t xml:space="preserve">THE MASSAGE THERAPY CLININORTH BAY ON </t>
  </si>
  <si>
    <t>594bf83b44e7dce3bac0e5e3e116c0ed06fda5819f4ff8ccf1a199159f8871cf</t>
  </si>
  <si>
    <t xml:space="preserve">McDonalds 12016 NORTH BAY ON </t>
  </si>
  <si>
    <t>1e2d5b914855d65cb14e1dfb9a283ea2c7f1a1e4bcbce364ef5d8fc231fec259</t>
  </si>
  <si>
    <t xml:space="preserve">KOODO MOBILE PAC 111-1111111 AB </t>
  </si>
  <si>
    <t>aada3afb52652c4bf3e91a9778dfddaf3bc8529c9318ac03487da5a230423ef0</t>
  </si>
  <si>
    <t xml:space="preserve">AUTOMATIC PAYMENT - THANK YOU </t>
  </si>
  <si>
    <t>0387dd5bd0b5550c03af023dbfe909eedcf04cd317fe2f686af46fb45238e9e6</t>
  </si>
  <si>
    <t xml:space="preserve">DOLLARAMA #1202 NORTH BAY ON </t>
  </si>
  <si>
    <t>8230d8bb43cab71d06c57c9bd67fd8d41e8e3e6840fc71d2ec0992c8039b5b4f</t>
  </si>
  <si>
    <t xml:space="preserve">ALAN &amp; MICHELLE'S NF N NORTH BAY ON </t>
  </si>
  <si>
    <t>e2f59054859bd7f4ba7b1c184d3e55d9f44bf0bc556e33cdf350be3727122abd</t>
  </si>
  <si>
    <t xml:space="preserve">TIM HORTONS #0583 NORTH BAY ON </t>
  </si>
  <si>
    <t>f8a0e2dbeeea8459ecc3eb6b4d954303256c12b508ec04f6dda8d23736823e4d</t>
  </si>
  <si>
    <t xml:space="preserve">FESTIVAL DU VOYAGEUR INC WINNIPEG MB </t>
  </si>
  <si>
    <t>fbf56a869554857e8babb13ce5a17106558325714088f4731b64cc73cda96114</t>
  </si>
  <si>
    <t>98b97ca46f8a12d81109caac5c4b346a0af1b3a714acdf803f18eb14491173da</t>
  </si>
  <si>
    <t xml:space="preserve">JOHNNY GS RESTAURANT WINNIPEG MB </t>
  </si>
  <si>
    <t>ebc9862b0a94c80d977ecf76fda8ad20fde02aa552db7cb465f3402c000afc2d</t>
  </si>
  <si>
    <t xml:space="preserve">SAFEWAY #4867 WINNIPEG MB </t>
  </si>
  <si>
    <t>1de29cfadc7495ae819feeef614ac8fab3f0457d14bf656a4982e8755af84136</t>
  </si>
  <si>
    <t xml:space="preserve">PETRO CANADA10499 BURKS FALLS ON </t>
  </si>
  <si>
    <t>1aac0254cb11e97dac908fdb5fe1f67101feaa38316365c70129ccc507b7afc8</t>
  </si>
  <si>
    <t>814b528e8c8a832a6b1e2d415a1e5c381a2740a6ebcfeb4ffa6798bfa6fe9ecb</t>
  </si>
  <si>
    <t>3fd715658b29f1aaa86afd38bc9f0a802b52d8efa6153a5649cdf8bef706a16c</t>
  </si>
  <si>
    <t xml:space="preserve">PARKN FLY ETOBICOKE ON </t>
  </si>
  <si>
    <t>62927c729a88ef000ab76940f5aed170d734c4ee149452646b7fce1552786da8</t>
  </si>
  <si>
    <t>84e3cd688951124743eabfa267e1ebb44df0093bf82a2bedfb7d07c27267f56c</t>
  </si>
  <si>
    <t>WDW TICKETS 4078285630 FL 370.62 USD @ 1.387700000000</t>
  </si>
  <si>
    <t>368332a00fcf16955cca4d29e7ba5afc53b4852eebc826f6b5c2317dc3b7daea</t>
  </si>
  <si>
    <t>INTEREST PAYMENT 68.76</t>
  </si>
  <si>
    <t>d5f1dd77e969d5d8131b9479595b468381c672ca6b1b14675ea81079401f180e</t>
  </si>
  <si>
    <t>LOANPROTECTOR INSURANCE PREMIUM 6.99</t>
  </si>
  <si>
    <t>f59c2a757b77b85bdc741334609a8ca5688437dba0b3b89c7eb3fdd49bf72adc</t>
  </si>
  <si>
    <t xml:space="preserve">Email Trfs E-TRANSFER SENT </t>
  </si>
  <si>
    <t>aebe6dbede9943f9a4151189f56cd59ef60ad8b66ce407aa13760c346cceb4b6</t>
  </si>
  <si>
    <t xml:space="preserve">Transfer WWW TRANSFER - 0486 </t>
  </si>
  <si>
    <t>c0991a053bc8e1a163750ce1e78f711eb83357040048d9472c48f7d3b6db6837</t>
  </si>
  <si>
    <t xml:space="preserve">WWW TRF DDA - 0486 </t>
  </si>
  <si>
    <t>c84b4834c6819343d4e2b5cedf0fe5e49f656f47b62ee43edd68c19ca2761ac6</t>
  </si>
  <si>
    <t>edad275a01b278483ab9097d041d9a945d0ac3e9d4b72ebe399222811717fbd5</t>
  </si>
  <si>
    <t>f26d5dceefde6f3de9ed99ddd179b278a2b931573c7c6ed26d7d05d176560041</t>
  </si>
  <si>
    <t>d3981fe97bd0f61ab46211dea1ca26d1341c53b486a9accc061e17800c362379</t>
  </si>
  <si>
    <t>86a22f02d2c68d889302afd459e7e419002ef607bcf5f46680139c6f3006bb73</t>
  </si>
  <si>
    <t>631ba36effdd52c3c8326122ccf3ea4b59b7d3a4fd2941adb68af39196e0ce64</t>
  </si>
  <si>
    <t xml:space="preserve">SERVICE FEE 5EPMT/WD/TFR@$1.25 </t>
  </si>
  <si>
    <t>9f6b3411c1adb52796fb8c5e636e9b38ce3d23d4c4f721077085be49a33f8d1b</t>
  </si>
  <si>
    <t>99513bb59016355a05999ccdd89d18a76ba9dd345c3fcfa5d1ee50be388357b9</t>
  </si>
  <si>
    <t xml:space="preserve">TOPPER'S PIZZA TOP035 705-497-9797 ON </t>
  </si>
  <si>
    <t>5dc251b8aa5818d499bb6b4fede2736a0a261d5df20c7554fa243f142b0e4d58</t>
  </si>
  <si>
    <t>1bdea1f49a65341333cba7a8e67647fefa7708bf6f02f9c52e96af2fa781537e</t>
  </si>
  <si>
    <t xml:space="preserve">FOOD BASICS 609 NORTH BAY ON </t>
  </si>
  <si>
    <t>6f9e96efafe1b578eb06a6fb1b65517711378b62901625581ff125d1d88c211e</t>
  </si>
  <si>
    <t xml:space="preserve">MCDONALD#S #29028 NORTH BAY ON </t>
  </si>
  <si>
    <t>4186b3d6457c3e66f3d769685ae3ad8f0ecceb234eebe729a748be0200987644</t>
  </si>
  <si>
    <t>88dfd6583a878c9245760d8e63dc68df6b33294b593ece65c3680bb21b126673</t>
  </si>
  <si>
    <t xml:space="preserve">PETSMART INC. 2337 NORTH BAY ON </t>
  </si>
  <si>
    <t>72fbe0b6b6946894cbdcec2ac9b5f806c0d995d8a08dbb8ae0fbae3aaabfccd6</t>
  </si>
  <si>
    <t>0f17dcbe09e8f92320713eaf357b2f0cc2e5aecfafc14e5b58525a6e0fc7a973</t>
  </si>
  <si>
    <t xml:space="preserve">GALAXY CINEMAS7265QPS NORTH BAY ON </t>
  </si>
  <si>
    <t>Manual fix</t>
  </si>
  <si>
    <t>Balance transfer: from credit line to misc fees</t>
  </si>
  <si>
    <t>505f05694d1180a5fc98768e41b91c3a44be55ccacb92ef32c0bd6d2a78293ec</t>
  </si>
  <si>
    <t>96eae758753f65b0f01af25f24d2baeee3ca18dbe608bfa1b65e58a742a3b940</t>
  </si>
  <si>
    <t xml:space="preserve">Transfer WWW TRANSFER - 4841 </t>
  </si>
  <si>
    <t>edfc6dafd9921bbb2354f8134033695fbabdc22281ab5bd511bb66ecb349115e</t>
  </si>
  <si>
    <t xml:space="preserve">WWW TRF DDA - 4841 </t>
  </si>
  <si>
    <t>03c3fda3cb1b2d5b78dd19842c32eb34fbf0562d8382ceac14b73d5288bd1354</t>
  </si>
  <si>
    <t>9fc8185c40a7c21fdf5aea608b6c31a52e77706b58fd07d820e059b58c2e4919</t>
  </si>
  <si>
    <t>cc5169fd5e72bc2fc30b71616f934f8e17ca902e30cdc6fd402defb20b8069dd</t>
  </si>
  <si>
    <t xml:space="preserve">Transfer WWW TRANSFER - 0437 </t>
  </si>
  <si>
    <t>1896058914a24925a6786d556162462c59c5f8e15bc55a7d91be2754d1c03b02</t>
  </si>
  <si>
    <t xml:space="preserve">Transfer WWW TRANSFER - 7844 </t>
  </si>
  <si>
    <t>76a85c569957e628a0382ba7ea334bd95247bbfc46dfee2758d92c455421e734</t>
  </si>
  <si>
    <t xml:space="preserve">Transfer WWW TRANSFER - 9716 </t>
  </si>
  <si>
    <t>a85a608867442c84b1d990bed35e3cf302bd40534b14ecba74dade78aa74e7bc</t>
  </si>
  <si>
    <t xml:space="preserve">WWW TRF DDA - 0437 </t>
  </si>
  <si>
    <t>4006c5d016fcfe90b1e1902306da24aa2f9bb0bbcd8e8416b0a6d87d632a59fe</t>
  </si>
  <si>
    <t xml:space="preserve">WWW TRF DDA - 7844 </t>
  </si>
  <si>
    <t>9a0ddd295999a94a5040a3418db751c8713c05ed48456419b0f4ebc15f00278f</t>
  </si>
  <si>
    <t xml:space="preserve">POPEYES #13996 905-856-1500 ON </t>
  </si>
  <si>
    <t>92dd28513d37df354d8d5b05a473a6a01073c2ac2bf0348f3833089eae2a092d</t>
  </si>
  <si>
    <t xml:space="preserve">Loan Pmt WWW LOAN PMT - 7845 </t>
  </si>
  <si>
    <t>4f2bee136106227bbd6907b588f0dcfb71eb30a7a653d107968d5e145de9fe9c</t>
  </si>
  <si>
    <t xml:space="preserve">WWW PMT TIN0-07845 </t>
  </si>
  <si>
    <t>765b2ab7983656ad0f35f50e04228f4d5e32b27e1e853fc4de57d0515f36b567</t>
  </si>
  <si>
    <t xml:space="preserve">TREASURE HUNT NORTH BAY ON </t>
  </si>
  <si>
    <t>83c89a1d4498a84b28b1248bac174d6d6d3a0fd1708c642e55ca1df5879a1a00</t>
  </si>
  <si>
    <t xml:space="preserve">WWW TRF DDA - 3154 </t>
  </si>
  <si>
    <t>e58a035d1018f48d63458fb2a49f12e22933be9f164856dac45852ca82dfc034</t>
  </si>
  <si>
    <t xml:space="preserve">WWW TRF DDA - 7846 </t>
  </si>
  <si>
    <t>f529b5ddee27bb06b5e21ed1ca610165888e7abdf4ab1bc33a963145c46f645d</t>
  </si>
  <si>
    <t>bf70cd3cd8a6c4e8bb57d7424fbe7b218f913c35867148cb970688cd8bd81594</t>
  </si>
  <si>
    <t xml:space="preserve">AMZN Mktp CA*RZ5100161 WWW.AMAZON.CAON </t>
  </si>
  <si>
    <t>sim card</t>
  </si>
  <si>
    <t>29d5dddf173f5cb8ff81d59ed8912d992a730e02ca2fe9ead6a19d0bed62f650</t>
  </si>
  <si>
    <t>0c523b2bad615a795af4b7894516627ae715b817426fe27ded5c89066e2e3aa9</t>
  </si>
  <si>
    <t>727ce12c9ab07d205ea46bce77f8f1d4cf7cd2d0286bb911bda1e4f67edffde7</t>
  </si>
  <si>
    <t>f43f7a237e6b94b86107ccac08ecd7d0d61a3433cff344f77473ba97c5fd2c36</t>
  </si>
  <si>
    <t>Personal Hygiene</t>
  </si>
  <si>
    <t xml:space="preserve">SPORTSCUT NORTH BAY ON </t>
  </si>
  <si>
    <t>dda4b9f8a2b50cf87449a682de748e03a29080633daaf6ef6750e273aa518f05</t>
  </si>
  <si>
    <t xml:space="preserve">PAYMENT - THANK YOU / PAIEMENT - MERCI </t>
  </si>
  <si>
    <t>6acbc5afaeb29cf556086a847187631bb3becc95d34963738b9bde6be20f4fd3</t>
  </si>
  <si>
    <t>19035a01aaa0be8f76aa420655f359ffff55f83a1a07069ef39b191161081f86</t>
  </si>
  <si>
    <t xml:space="preserve">DAYS INNS/DAYSTOP NIAGARA FALLSON </t>
  </si>
  <si>
    <t>79a196375c12cecf9c1acbdc109624ddaaa4186a93eee662998b3a5ec3964e11</t>
  </si>
  <si>
    <t>62210237264b34760d44e4b53d1804a25528637364b7d81278c1b6fd87100f2e</t>
  </si>
  <si>
    <t xml:space="preserve">DR MEGAN SEARS OPTOMETRY NORTH BAY ON </t>
  </si>
  <si>
    <t>386b7c54b0a7033e762f349a70e87ed391b4f5564ba430ad47504b06bb7e5bac</t>
  </si>
  <si>
    <t xml:space="preserve">LUCKYS RESTAURANT AND NIAGARA FALLSON </t>
  </si>
  <si>
    <t>ade23721fd94763f52e0df65cfc872cb42df857786175c37314ae5e45735e55b</t>
  </si>
  <si>
    <t>GO MART #92 GASSAWAY WV 10.61 USD @ 1.393900000000</t>
  </si>
  <si>
    <t>bc9c7978ad9b2e45043292b43a81ab23bf3ee086f66f2299e07a3e383572017a</t>
  </si>
  <si>
    <t>GO MART #96 WYTHEVILLE VA 10.80 USD @ 1.387900000000</t>
  </si>
  <si>
    <t>315f30c4ea217c0c5cfc5fb68eef3c079aae6f4f6552081ce867edee56ed6917</t>
  </si>
  <si>
    <t>RED ROOF INN 0680 WYTHEVILLE VA 86.00 USD @ 1.387300000000</t>
  </si>
  <si>
    <t>840603c2de8004ec270140ae127ee3894a6339c2e1568f684b2d8622810fb4a0</t>
  </si>
  <si>
    <t>STARBUCKS 70917 GROVE CITY PA 14.31 USD @ 1.394800000000</t>
  </si>
  <si>
    <t>d7346a8876c5dfa51560ce081a226b69ac194e141e56867b3caecf9c4a9ca5c7</t>
  </si>
  <si>
    <t xml:space="preserve">Walgreens 10928 BEAVER WV </t>
  </si>
  <si>
    <t>b4a055c3d1dc6068a9053f32bc425eb0f129244a6274347dae3fdcca0fed1eef</t>
  </si>
  <si>
    <t>3a345501e952203f8f73918459ad8a8c4568fe4275b30a858bccf4b711aada22</t>
  </si>
  <si>
    <t xml:space="preserve">CANADIAN TIRE GAS BAR NIANIAGARA FALLSON </t>
  </si>
  <si>
    <t>3ba06fa1d4bb2b6cae9d3237544f9230496759b9e22b3df9bc24c57595bc1ebd</t>
  </si>
  <si>
    <t>GO MART #92 GASSAWAY WV 32.58 USD @ 1.384200000000</t>
  </si>
  <si>
    <t>b3ef81fe2f28d47c2ba732334ea9d168bd4a56e6cf3b94039ead6607b3bb7725</t>
  </si>
  <si>
    <t>HARDEES 2906 WYTHEVILLE VA 26.02 USD @ 1.387300000000</t>
  </si>
  <si>
    <t>a7c875c518b2ee0084d9d1838f7328558773e9e4fd619ce6aba66ae6256bf6d2</t>
  </si>
  <si>
    <t>MCDONALD'S F33760 LAMBSBURG VA 8.49 USD @ 1.387500000000</t>
  </si>
  <si>
    <t>f2b220faad45e41225e36098ffa55b42f1cfedbf83297e1e740d1ee6f2acd68b</t>
  </si>
  <si>
    <t>QT 1176 INSIDE CAYCE SC 5.19 USD @ 1.387200000000</t>
  </si>
  <si>
    <t>6c5c87788a2b35c4d157ad05604fe5a692f8ccf57e7d90a219bad3766e1602e3</t>
  </si>
  <si>
    <t>RED ROOF INN 0680 708-9410062 VA 50.00 USD @ 1.311600000000</t>
  </si>
  <si>
    <t>713c17129b567f6b30f73c198e1f7c35247e56d3f4a2391e4d8f7862ba16cc32</t>
  </si>
  <si>
    <t>66af1384b3f5bbdf7d4a8038123c1066341ee9136be4e00819c744e21d6b7256</t>
  </si>
  <si>
    <t>0ff2f4e3e4abd72cf2502f05f8d3b2fde8f9145e092aa090cb0fa7a2c80146bc</t>
  </si>
  <si>
    <t>86420c350a2aabbd626f904f1c3e477dbd767e3fa7b86928b31de605dbbd5d20</t>
  </si>
  <si>
    <t>QT 1176 OUTSIDE CAYCE SC 32.64 USD @ 1.384100000000</t>
  </si>
  <si>
    <t>aacebe7a803ba037626fa2927a5d6df2db390d8173a363b75f30a19971287873</t>
  </si>
  <si>
    <t>ORMOND GARAGE ORMOND BEACH FL 50.06 USD @ 1.384300000000</t>
  </si>
  <si>
    <t>2b059503646313d10c2772c0dc347a9532026c80c14e71c3eba507e3c7624b48</t>
  </si>
  <si>
    <t>ABC FINE WINE/SPIRITS 210TALLAHA 122.59 USD @ 1.384300000000</t>
  </si>
  <si>
    <t>79c604ab9201f12abac55a72ce92148b66c006ae0b78c8b3e7406c3ab293800e</t>
  </si>
  <si>
    <t>JIMMY HULAS - ORMOND ORMOND BEAC 24.18 USD @ 1.384600000000</t>
  </si>
  <si>
    <t>c9404c30b393924066ab57f8d852bb88f9b25b61002e6dc840f8b4ff70adecc2</t>
  </si>
  <si>
    <t xml:space="preserve">WALGREENS 0774 ORMOND BEACH FL </t>
  </si>
  <si>
    <t>25097f4d7a73f26f4ac81eeb772b09928c22666f6e910fc416e1b6349a200320</t>
  </si>
  <si>
    <t>WDW CASEY'S CORNER LAKE BUENA VI 18.95 USD @ 1.419500000000</t>
  </si>
  <si>
    <t>a6b60697504cff39cb8c89b27cba0896f060391d057f105ee21e91d5999759d9</t>
  </si>
  <si>
    <t>WDW EMPORIUM 4078285630 FL 15.96 USD @ 1.419700000000</t>
  </si>
  <si>
    <t>2d3887bed363f2a8737d4b07e6f975b146490fa1b7119962331ae6a2676cbc3e</t>
  </si>
  <si>
    <t>WDW SLEEPY HOLLOW LAKE BUENA VIF 12.34 USD @ 1.418900000000</t>
  </si>
  <si>
    <t>99b457bd74ef8f41d82ca983e932ff6e9260c34aec392ae6883a06c634faed89</t>
  </si>
  <si>
    <t>WDW SUNSHINE TREE LAKE BUENA VIF 12.33 USD @ 1.418400000000</t>
  </si>
  <si>
    <t>96d20be9c8460b7732c072482630f06d3b9c3c2059252e80aa572b741fe7085e</t>
  </si>
  <si>
    <t>WDW THE FRIARS NOOK LAKE BUENA V 24.47 USD @ 1.418800000000</t>
  </si>
  <si>
    <t>9844139c13a621370709b3f80f336a7f4245358a459bdab3f7efeb2f14d2a54a</t>
  </si>
  <si>
    <t>1a187612e3f2e144063f75f494caf3db3cb89afe2da2c141142e4e382b892ad6</t>
  </si>
  <si>
    <t>PUBLIX #1755 ORMOND BEACH FL 43.57 USD @ 1.419500000000</t>
  </si>
  <si>
    <t>c2c88c33b6cda86e12f53d4d3919cad1018971deff3ded8215fa8b7a236db88e</t>
  </si>
  <si>
    <t>SQ *OCEAN CLUB Ormond Beach FL 6.38 USD @ 1.421600000000</t>
  </si>
  <si>
    <t>a1ac0f61af67a499f47e6bc5ce307dede4d7c9fc535487a34a06320b57cc1c20</t>
  </si>
  <si>
    <t>TST* LULUS OCEANSIDE GRILOrmond  107.84 USD @ 1.418500000000</t>
  </si>
  <si>
    <t>980f78dc9140336dce1e387260d7c98a0411dee305611c71f2124baa1cf1e35c</t>
  </si>
  <si>
    <t>79d86f6e7aac2570ca97d940a5e0332c1b40d31e67f8c02bc1f8b454a0de8721</t>
  </si>
  <si>
    <t>CHICK-FIL-A #01948 JACKSONVILLE  20.63 USD @ 1.418300000000</t>
  </si>
  <si>
    <t>30486d7171e742be772c35705f41d7afe0b3177c857b12e56386b7ffb5d91aac</t>
  </si>
  <si>
    <t>Cracker Barrel 800-3339963 TN 21.17 USD @ 1.422700000000</t>
  </si>
  <si>
    <t>4107c755319cfbacaee74a00785c476e1ec05bacf157694658af0fa70a2887a3</t>
  </si>
  <si>
    <t>SUPER 8 MOTELS GARYSBURG NC 91.33 USD @ 1.422800000000</t>
  </si>
  <si>
    <t>530c3261e8bca0d7caff79beb6b24c5523926af2b934708b7f5af2c22c731c87</t>
  </si>
  <si>
    <t>27f540a1d50042c5204879ab9c987d91ef2983f2f037ca11283af24184e2c7ea</t>
  </si>
  <si>
    <t>FLYING J 713 LATTA SC 32.39 USD @ 1.422900000000</t>
  </si>
  <si>
    <t>92fb9303a4c2680d4d09433f51efaeb319e023384b73db708ec84834b53ced0b</t>
  </si>
  <si>
    <t>RACETRAC661 00006619 ORMOND BEAC 36.13 USD @ 1.424000000000</t>
  </si>
  <si>
    <t>ede2f2e9a7eb4bd2405950a7549b4e2ff4136dc1ac32e4cc6af01b6bb8d625fe</t>
  </si>
  <si>
    <t>60376 - 1625 EYE ST. WASHINGTON  25.00 USD @ 1.422800000000</t>
  </si>
  <si>
    <t>1c2ca79e3586edc4a4a2f6850deedbb123c5c44c0341eddfeaeef2faba00cf35</t>
  </si>
  <si>
    <t>BUDGET INN WILLIAMSPORT PA 64.38 USD @ 1.424200000000</t>
  </si>
  <si>
    <t>f1af0fd2da2e7156850cf80fca200d3efdb033f5689375d404c00a6ac0b9d2ef</t>
  </si>
  <si>
    <t>HCW FOODSERVICE/RETAIL HERSHEY P 12.65 USD @ 1.422100000000</t>
  </si>
  <si>
    <t>12201e5b5b150edd856500c484269c59a685eed4e24a2ae3f046bc0fb048bc68</t>
  </si>
  <si>
    <t>HCW FOODSERVICE/RETAIL HERSHEY P 14.40 USD @ 1.422200000000</t>
  </si>
  <si>
    <t>99eab0760eb9040839e1897d1547786b0e79344ac654481ed892b004b12650a7</t>
  </si>
  <si>
    <t>ROCAR MOBILITY LLC HTTPSROCARMOB 15.89 USD @ 1.422900000000</t>
  </si>
  <si>
    <t>2ace728901a8faa9fab8db65c58461422cbdd2f6ffeea1211dbc549a5ce3cfca</t>
  </si>
  <si>
    <t>ROCAR MOBILITY LLC HTTPSROCARMOB 16.30 USD @ 1.422600000000</t>
  </si>
  <si>
    <t>3bf5c8d22c6c210d8a0dad3e4d00442e82d5b9d0cbd7fcfa415bbf3c414e799e</t>
  </si>
  <si>
    <t>SHELL OIL 57543575906 GAITHERSBU 2.75 USD @ 1.418100000000</t>
  </si>
  <si>
    <t>e9302e8b292c14dc6460471e14ebe0c6bad12b0ccde01ad42e1edf7566dfe222</t>
  </si>
  <si>
    <t>Subway 21094 Gaithersburg MD 21.76 USD @ 1.422700000000</t>
  </si>
  <si>
    <t>66acc10b2d77050a9cfe9bfecced1a68521612bf7a92dfbcf6f77572a2fe3237</t>
  </si>
  <si>
    <t>WENDY'S 191-23 WILLIAMSPORT PA 16.94 USD @ 1.423800000000</t>
  </si>
  <si>
    <t>c64ac48f667bc054e9dd136c07cbe654d4ad1a425bfd7628478b8c4f908acc59</t>
  </si>
  <si>
    <t>7e78e70d277df92a1f66797a50151561fff6e67a6547afea5a82fefde8f78e4c</t>
  </si>
  <si>
    <t>fd2c932d69d9a85adeccd1a5b369c5dbe70b86abb3f2df787aec922b69e45386</t>
  </si>
  <si>
    <t>SHELL OIL 57543575906 GAITHERSBU 37.07 USD @ 1.424300000000</t>
  </si>
  <si>
    <t>a0212e7f6d4c1c3f9e2565eb62aa14d5b6a4146eae6625e7a8ba7b5618562468</t>
  </si>
  <si>
    <t>ANCHOR BAR RESTAURANT BUFFALO NY 10.88 USD @ 1.423700000000</t>
  </si>
  <si>
    <t>c882e47dc95bacf292c26714c6fbc6fab72db554f1ca6c1bb22fff251cc71220</t>
  </si>
  <si>
    <t>ANCHOR BAR RESTAURANT BUFFALO NY 48.92 USD @ 1.424100000000</t>
  </si>
  <si>
    <t>correction</t>
  </si>
  <si>
    <t>38403c9a9d286fa438719a503390c91c4dae3020482f5a5f3a45e823a91488db</t>
  </si>
  <si>
    <t>MCDONALD'S F3218 WILLIAMSPORT PA 3.38 USD @ 1.420100000000</t>
  </si>
  <si>
    <t>25ebc4c6e041e269acdbd5e3608154a29f50d952bffa27daa2b3515e45e40f44</t>
  </si>
  <si>
    <t xml:space="preserve">NF BRIDGE COMMISSION R NIAGARA FALLSON </t>
  </si>
  <si>
    <t>0a5fbd5ea2540841217f8377882235dfdb6fa1f623911b80cdad86e1a2fbfbf7</t>
  </si>
  <si>
    <t xml:space="preserve">ONROUTE KING CITY ON </t>
  </si>
  <si>
    <t>d99d3cd71c0816f7fc619de5b050b752fba0b42b6da3a94b4a3505cfcf59cec8</t>
  </si>
  <si>
    <t xml:space="preserve">SUBWAY (HYBRID) KING CITY ON </t>
  </si>
  <si>
    <t>714cb112c3e1b60b10ced804b6e5c8d89908da1d76ed4ff7bf45500d4413f72c</t>
  </si>
  <si>
    <t xml:space="preserve">TIM HORTONS #104281 KING CITY ON </t>
  </si>
  <si>
    <t>b77f95cccec63557e4ce059093613768292328666ef5eefa57c499485d1c5827</t>
  </si>
  <si>
    <t>TRADER JOE S #536 AMHERST NY 85.04 USD @ 1.424200000000</t>
  </si>
  <si>
    <t>d86d8d89d3e5ae2293e0355647d47a279242dc3891a49714de641145b8d21758</t>
  </si>
  <si>
    <t>c8da80bf40b7b3cc8f9f7b44842de7f1667f84b0b4b3dd863f014ee779306dbb</t>
  </si>
  <si>
    <t>EXXON DANSVILLE VILLAGE MDANSVIL 32.89 USD @ 1.424100000000</t>
  </si>
  <si>
    <t>ca914906eb7fc2012adcc95ba74f59fadb6a3e07c6b9f309bd797ec034ef9a84</t>
  </si>
  <si>
    <t xml:space="preserve">ONROUTE KING CITY 400 #11KING CITY ON </t>
  </si>
  <si>
    <t>0928017aebd287010f87886b4e3f41ef391cb97b48566616a2eaec96efe9a399</t>
  </si>
  <si>
    <t>PREMIER WINES &amp; SPIRITS AMHERST  219.56 USD @ 1.424300000000</t>
  </si>
  <si>
    <t>acfcbb7ad10bd89c6aaf0f368f12de6ea61320870f5b5ce72dbfae1133391fe2</t>
  </si>
  <si>
    <t xml:space="preserve">PRETTYLITTER OTTAWA ON </t>
  </si>
  <si>
    <t>83cdf6220c49926e16a6d53ea3eb9b30ce908ba5df39c9aecfd88e5991416a22</t>
  </si>
  <si>
    <t xml:space="preserve">DOLLARAMA # 293 NORTH BAY ON </t>
  </si>
  <si>
    <t>e381ae1c5badb34dfd898bf11ee131db00545a4b1461d2402478127302a8ce6a</t>
  </si>
  <si>
    <t>Payment WWW PAYMENT - 3253 NORTH BAY WAT</t>
  </si>
  <si>
    <t>73c4116d9db32af6097aa0bdf40a0aa9d12b8a061bf70aff05e83591a917149f</t>
  </si>
  <si>
    <t>3070d27c4877277f742bf78c0408b359d93b1e2e0d01c8fa55bc92e9a401b1de</t>
  </si>
  <si>
    <t>80a91c64ea2533593e2f198dec2c6fe94b975be0b491488c6244f3aaed2cc8c6</t>
  </si>
  <si>
    <t>4dfb6bde6451292bc6bef2593bc5df4028f64bb2056e0a9a7c3c4c9c75dfd1e2</t>
  </si>
  <si>
    <t>0acbd54e8514b30eb2d8154d76b25fd1fb6968e4fac2415dd0edbadef0031d5f</t>
  </si>
  <si>
    <t>1614765a459e487b407580e9d0d055f8744080f28b47fde58f8a50457dbd15da</t>
  </si>
  <si>
    <t>e8b732519ef01b05e78bd71fe3c0d20cf29496b7b9f2b3c00729e2456b36e59c</t>
  </si>
  <si>
    <t>ce06f3638edb6b2aa3f67bbf8899b7d0a5cee7ee6d88a11d7672559591343f23</t>
  </si>
  <si>
    <t>cba499a33a066efc6f5844ffe4fd2da2c93e35e969aa56b12fbbc60f63fc54ef</t>
  </si>
  <si>
    <t>INTEREST PAYMENT 60.41</t>
  </si>
  <si>
    <t>1c9e5b2bc37509c1b91fa0b244a75b2ef429d4bbfd98387175c53173de5f5630</t>
  </si>
  <si>
    <t>LOANPROTECTOR INSURANCE PREMIUM 6.16</t>
  </si>
  <si>
    <t>25d0021d6c94e2270fb37ed4f239f23d131aa21402f14a1e4f9d1c68a56e1ac6</t>
  </si>
  <si>
    <t>56f8aa0eb703f7eec2d952cff3239a4f44d04945cfb61071c5d4be5bce1f1f79</t>
  </si>
  <si>
    <t>fd5619ca3fab95151f6399b97e53ca12c6a2ccdb05b7a784470c47164d3eed51</t>
  </si>
  <si>
    <t>07a256984397ef5dcd09898240c31f3eeb1d28633e6b64c3c9ec24ccbc2d7fd7</t>
  </si>
  <si>
    <t>1a8a06730f39cf77a490cd64d29f38119c6fe245c7d688161979e40353741d4d</t>
  </si>
  <si>
    <t xml:space="preserve">AMZN Mktp CA*RA8UR1PK0 WWW.AMAZON.CAON </t>
  </si>
  <si>
    <t>1cef44940c24cb2a441593503a71fb73334b6744faaec95281fbc98c27d620b6</t>
  </si>
  <si>
    <t xml:space="preserve">Amazon.ca*RH3W14RH2 AMAZON.CA ON </t>
  </si>
  <si>
    <t>f6f78c4645303bc5034ce29180a423be8dec385160a705ecb7549e62744016d6</t>
  </si>
  <si>
    <t xml:space="preserve">TRANSAT/69407431 MISSISSAUGA ON </t>
  </si>
  <si>
    <t>a8472b2d5f408fa7287d2369b6bf929c40389fc17f4b9e25b6936f098a5e3625</t>
  </si>
  <si>
    <t xml:space="preserve">LITTLE CAESARS #5132-0001NORTH BAY ON </t>
  </si>
  <si>
    <t>02f6c762a2582173f05cd1386e959858d314999ea96ed866a8995a8f3644e046</t>
  </si>
  <si>
    <t>ce956cf528fa9766113eabd70394fcccc992462b63c083af7b23249a6634eb41</t>
  </si>
  <si>
    <t xml:space="preserve">JOCKO POINT GEN7 LP NORTH BAY ON </t>
  </si>
  <si>
    <t>c946597b79e1bda034c73bc60e8a7e0b65e8e8e0149aeb0b6865747093917e20</t>
  </si>
  <si>
    <t>e4674e33426eddb9364e376b7c0403109a7fd53ace9bfb4afd2b1c63d7882391</t>
  </si>
  <si>
    <t xml:space="preserve">SERVICE FEE 6EPMT/WD/TFR@$1.25 </t>
  </si>
  <si>
    <t>6376545411c0b3aaab1f359d34a64011d379585b2906d2cb4dbc70aec0ae367e</t>
  </si>
  <si>
    <t>3d118cb571ae05a152d4aa6b2ab33d6287e4aa142e0c5b7306f2b44870b9de70</t>
  </si>
  <si>
    <t>bf341f86f036e1a21589830a63de171cc596d974a1759875896c0585cded108c</t>
  </si>
  <si>
    <t>bacb94489af23ff4d26579f3b1a28be99eae3ebba06d0fc8e4f13c8f660fff41</t>
  </si>
  <si>
    <t>Balancing to auto insurance</t>
  </si>
  <si>
    <t>af7ea9e4a10e8158b5e4d89792ab5fbabd39213dc46540a1894714b074f44a3c</t>
  </si>
  <si>
    <t>c4e9a6b1e1cff1206853714e7800092bce89c60eeddab4e5cf87631d195e2a86</t>
  </si>
  <si>
    <t xml:space="preserve">Transfer WWW TRANSFER - 1795 </t>
  </si>
  <si>
    <t>1fc202ffd4a5e629c7967deb42eb1589365653cfa3d2e76afd0f2735bd2036c3</t>
  </si>
  <si>
    <t xml:space="preserve">Transfer WWW TRANSFER - 1811 </t>
  </si>
  <si>
    <t>from shared chequing</t>
  </si>
  <si>
    <t>rebalance to rrsp</t>
  </si>
  <si>
    <t>866393370502c6df8fc05a1376c59ef75d12259cbce698568dc94cae15648e60</t>
  </si>
  <si>
    <t>5bc2da00ee3312f56d1a1693abcf0f7164d343e519557cf546da45a89f2e0f65</t>
  </si>
  <si>
    <t xml:space="preserve">Transfer WWW TRANSFER - 2332 </t>
  </si>
  <si>
    <t>d96a3e993a29bf892e7f9ed7c4853a5e82f9e35774197b0265a14c5de457a8e5</t>
  </si>
  <si>
    <t xml:space="preserve">Transfer WWW TRANSFER - 2353 </t>
  </si>
  <si>
    <t>f9a9e6eb1c9da56f9b7ce82805c937a5a3501215bb4f558ffd4251009dc5b15f</t>
  </si>
  <si>
    <t xml:space="preserve">WWW TRF DDA - 1795 </t>
  </si>
  <si>
    <t>to shared chequing</t>
  </si>
  <si>
    <t>58f36bc68a6486af07f04c952355956f4aa9b9061ae77b930881545b21f64d08</t>
  </si>
  <si>
    <t xml:space="preserve">WWW TRF DDA - 1811 </t>
  </si>
  <si>
    <t>89e3bf1f7b794a52fece4435202d16651de80172c689921257d640a50a9d1a9a</t>
  </si>
  <si>
    <t xml:space="preserve">WWW TRF DDA - 2332 </t>
  </si>
  <si>
    <t>c8c81f266292fc5595c14a3329481ae15682800c50b4adc67829384c98b26711</t>
  </si>
  <si>
    <t xml:space="preserve">WWW TRF DDA - 2353 </t>
  </si>
  <si>
    <t>Balance from Credit line</t>
  </si>
  <si>
    <t>ae15faa27bd846cfa37fd9597e7219aa06a0eeb1dc8f4d5126068a9725e997a8</t>
  </si>
  <si>
    <t>10b218415d7e2baf6ddd99442af857978534d67411e0eedc51f7f4df1938ca33</t>
  </si>
  <si>
    <t xml:space="preserve">Subway 5368 North Bay ON </t>
  </si>
  <si>
    <t>Balance to cat fund and auto insurance</t>
  </si>
  <si>
    <t>1f51569f271ab1aa33eafc8fcfa14c748b1e14d1aeec045465de9eeb79d542ce</t>
  </si>
  <si>
    <t xml:space="preserve">TRUE CENTRE AUTO SERVICE 705-4748021 ON </t>
  </si>
  <si>
    <t>Balancing from personal care</t>
  </si>
  <si>
    <t>1aa4c8b98a939baca272d51da9b0b276ba1fed1b238c7c1d03a5fa305106c29f</t>
  </si>
  <si>
    <t xml:space="preserve">COUCHICHING COURT RAMA ON </t>
  </si>
  <si>
    <t>786844f028e55c235d8b3f96b6a2ee36941df7d7191e834459cbe0fba361ed5d</t>
  </si>
  <si>
    <t xml:space="preserve">MARIPOSA MARKET ORILLIA ON </t>
  </si>
  <si>
    <t>a2a26ce19d7bb96aa02960540bad41e13bfc5c16ebece3df41a1d75597ffa208</t>
  </si>
  <si>
    <t xml:space="preserve">CIRCLE K #1738 ORILLIA ON </t>
  </si>
  <si>
    <t>65b1ab41ba996b4b2c00e81214ebd2a3dad97f3d3f5f2f459f9670d88afb8261</t>
  </si>
  <si>
    <t xml:space="preserve">CARQUEST NORTH BAY NORTH BAY ON </t>
  </si>
  <si>
    <t>b7174945641b87287da822741c6d2e00f91b8c36af8312772925ccd93f8f8113</t>
  </si>
  <si>
    <t xml:space="preserve">CANADIAN TIRE #072 NORTH BAY ON </t>
  </si>
  <si>
    <t>9162ba576fdf4d7260ddaf40df8b659d5c91dab66bf07c9025fc17a8fae6bbaa</t>
  </si>
  <si>
    <t xml:space="preserve">TIM HORTONS #7370 RAMA ON </t>
  </si>
  <si>
    <t>0ea41261791aed751023b3aa11a2ad2294a319680a8afedb0ace558020f4a783</t>
  </si>
  <si>
    <t xml:space="preserve">SKIPTHEDISHES WINNIPEG MB </t>
  </si>
  <si>
    <t>a92843dd03d0b3026e081ffb72541f9bbbc1579b43b765086a4555214102bc98</t>
  </si>
  <si>
    <t>8a5b30217f557cf20b7962bbc9fd77eaf9f6cdbbe6286c1c95ebe57bc7fd6aba</t>
  </si>
  <si>
    <t>3fce67fc20d4194f94a37fccd875c2ffd66bca037e2dcb4b7363eb74d657fe98</t>
  </si>
  <si>
    <t>474c2b67762c153eca11ba9cea4943f86dc80be258a1ae9a9c129ec9e2965d03</t>
  </si>
  <si>
    <t>363e27e3db03592e9bbfcac5687eda001d2860753475ecbc3b6ae7d1967d7db8</t>
  </si>
  <si>
    <t xml:space="preserve">Transfer WWW TRANSFER - 6509 </t>
  </si>
  <si>
    <t>automated monthly</t>
  </si>
  <si>
    <t>cdb227735cb33ec095664a69a795a7ec36a0327d91377cbafd5b0603a7c3a54b</t>
  </si>
  <si>
    <t>2874af9914190ce2edcc9843f669b96e03edfbbbf715abad23d9694d9ebad2a9</t>
  </si>
  <si>
    <t>b247f7ce8e790e65c3c76b53c2e2e7ec10433e9da7dc8661900163c514ffd410</t>
  </si>
  <si>
    <t xml:space="preserve">REXALL PHARMACY #0034 NORTH BAY ON </t>
  </si>
  <si>
    <t>1609cde447e4f39c7c5b1a098e376afe765b182f8ed14e9cfdbe4499c7d6ff99</t>
  </si>
  <si>
    <t>d3bdb3b521b4e53f9e193c20ea74e55ea21bb0b3cef29bc8aa52925a532ebf96</t>
  </si>
  <si>
    <t xml:space="preserve">WWW PMT TIN0-06507 </t>
  </si>
  <si>
    <t>096761abe4989ae43b713ac062f4ce6ff51a62b034cec1f14052eeace6c141b7</t>
  </si>
  <si>
    <t xml:space="preserve">WWW TRF DDA - 6509 </t>
  </si>
  <si>
    <t>9c88fbbf2002b3ad9cc45e86a783c0798224cfcd3f1e9ac259806eb809b15aa3</t>
  </si>
  <si>
    <t xml:space="preserve">Loan Pmt WWW LOAN PMT - 6507 </t>
  </si>
  <si>
    <t>9b7adbaff2dbea081b480768b2cab2c4ab632c84b1f6f238ce27982d12c6d76c</t>
  </si>
  <si>
    <t xml:space="preserve">WWW TRF DDA - 3941 </t>
  </si>
  <si>
    <t>d144576db6dc108ad76d6ec3c837b28d168c6acefb6dbc03fd91c95d73bb51f3</t>
  </si>
  <si>
    <t xml:space="preserve">WWW TRF DDA - 6508 </t>
  </si>
  <si>
    <t>4f5e5bb7af08a4464bc11f1e466973bfc281415ed9d5959b2daa38e81fe6fe5e</t>
  </si>
  <si>
    <t>125ce42ff6adf11ed5296311add11e983f668ebc5bd6ce33c4b49932f6aa3dd9</t>
  </si>
  <si>
    <t>94e2f8097d36f0a16e8185fd4c7b65f637af92c10974fddc114c9a88e356368f</t>
  </si>
  <si>
    <t xml:space="preserve">IVAN'S RESTAURANT NORTH BAY ON </t>
  </si>
  <si>
    <t>b4f7516826e44813b8ef488a8529a651ea83f6e3b0d83711a84bfa2a06c1f4fe</t>
  </si>
  <si>
    <t>88ce82f33bb78c05afe43e70376c702909e200b7bd8ef641e19e182731266b25</t>
  </si>
  <si>
    <t>2bf5ad1e0cdec070ed9b6257554713c3fada7231b24574f16b4c1168ba7f5657</t>
  </si>
  <si>
    <t>92c6aaf7d3a5cc23a20e7cbe65fcf984d70d13fcb90cd16da9aebfe4824aaa17</t>
  </si>
  <si>
    <t>dfbc6053af9c9cff5b126f3de25dae1bf46d38d513c3ae030d028980a7a93f21</t>
  </si>
  <si>
    <t xml:space="preserve">Transfer WWW TRANSFER - 2278 </t>
  </si>
  <si>
    <t>3e4ca46c3a1baf34228cda4e6eafe4b62e893a1381e4e66519511f3e519a1706</t>
  </si>
  <si>
    <t xml:space="preserve">WWW TRF DDA - 2278 </t>
  </si>
  <si>
    <t>a51f7209f4b857dc6a8ff99457f12c8d3468517501668356ebe2fc1052eed52e</t>
  </si>
  <si>
    <t>074274c02fde752e70ee553daf412c6f52926301eb133e79990359e548fad67b</t>
  </si>
  <si>
    <t>85ca0eb849a09c1b7bb1a2d8d50fd6ad53fc803e8d226168cc794caca0860b7e</t>
  </si>
  <si>
    <t>35093a8f0199dc79ec83a047b98e05d4c4cf8829de14f7c636e9bb87dd6a6272</t>
  </si>
  <si>
    <t>1c48c02f10bc6b9e4207e6473171092dbe49ff922f2c83bca625c2e729256d34</t>
  </si>
  <si>
    <t>8b335164ae878a91382c4bbe86cc3695cfa11fac96fdd30d9049541760cb7052</t>
  </si>
  <si>
    <t xml:space="preserve">SHELL C05445 NORTH BAY ON </t>
  </si>
  <si>
    <t>9ef4c1b074f62f4883e7abfad44e43cde2bd38a7602d961bcc1a5392bede8c03</t>
  </si>
  <si>
    <t>7ffba4cf79894f08670bcbf67078a4fc7f21182c7368a4f0fc0814e00e3e4e8e</t>
  </si>
  <si>
    <t xml:space="preserve">AMZN Mktp CA*AC68P0AU3 WWW.AMAZON.CAON </t>
  </si>
  <si>
    <t>6e1e807a64118089210f76a24654e5419ba98c1f85d115108e55ebfd06cfd353</t>
  </si>
  <si>
    <t>b04824a149fab3a023e6d3d7f7fdf57513be913afab5d0260ac4a96b3ca65c06</t>
  </si>
  <si>
    <t>30ee6fc86c9caab7b88c4842b2ab458393e8c098530847fe35bae296473fedd9</t>
  </si>
  <si>
    <t>e5906f4bd110605b65453ef6378ed388bedb969d00326df66bd7913c9c2d2605</t>
  </si>
  <si>
    <t xml:space="preserve">Transfer WWW TRANSFER - 6899 </t>
  </si>
  <si>
    <t>5dba1f43e741fab0d784c10cb62e18360f6fe7f80ee27e000298cb4eee2dfd1b</t>
  </si>
  <si>
    <t>E-Z*PASSNY TOLLBYMAIL 800-333-86 2.24 USD @ 1.392800000000</t>
  </si>
  <si>
    <t>61d799402a504e25187f2dca960d9bdd4b62aaca2e4fe655b29d4d5b079ab336</t>
  </si>
  <si>
    <t>a4d5c673536cbc28d14a411360ea5fc23d75be520745cb379fca113bae202732</t>
  </si>
  <si>
    <t>a7994af6bdf59e78f403335b762e16ddd352b9c24cc1cd1281d4f978d10c43aa</t>
  </si>
  <si>
    <t>Payment WWW PAYMENT - 0209 NORTH BAY WAT</t>
  </si>
  <si>
    <t>5d21f4978836408e4e0bdd58308dec6426f15dde9ce4459d585727ad41273411</t>
  </si>
  <si>
    <t xml:space="preserve">MILANO PIZZA &amp; WING NORTH BAY ON </t>
  </si>
  <si>
    <t>1e4b4c2d1baee1ceb9b5ffa639e1ae18ce224bad445099114e595c77fd017cd4</t>
  </si>
  <si>
    <t xml:space="preserve">Kindle Svcs www.Amazon.caON </t>
  </si>
  <si>
    <t>80e05ab2947e68a0a09ae0e0110ba9abfcc400b283ee84877b44db94a335810f</t>
  </si>
  <si>
    <t xml:space="preserve">AMZN Mktp CA*6T87P8KO3 WWW.AMAZON.CAON </t>
  </si>
  <si>
    <t>62212286163ed19570d7fe916d5b6d843b259660b49c2d1ef199e07daedc20b3</t>
  </si>
  <si>
    <t>64f81b2fcdc142f60801ef16450c3aab00da8354227febf16be221749cb29005</t>
  </si>
  <si>
    <t>7e2bb0ff9ad50291d5a4219b92466be36225754cd50881d40c7e416882d7d0cc</t>
  </si>
  <si>
    <t>2e2173e0f32c8718c1568b8efab859d5c73418e81cc468bb6e6396c53e778931</t>
  </si>
  <si>
    <t xml:space="preserve">BURGER WORLD NORTH BAY ON </t>
  </si>
  <si>
    <t>a0cb27636538f20dd2fb9f4e18186cab10546631e0f69081d31b47e7cff71cb9</t>
  </si>
  <si>
    <t xml:space="preserve">Transfer WWW TRANSFER - 0590 </t>
  </si>
  <si>
    <t>unsure why this transfer from steve personal occurred. Reversed this transaction on 2024-04-29. My bad, this was intended as a subscription payoff from the money collected from famjam. Will see two more of these in next months review</t>
  </si>
  <si>
    <t>e5c08cf3ac88b82da381339791c75f7e947cddf0bcc505d973c1b5279c1d0dc2</t>
  </si>
  <si>
    <t xml:space="preserve">AMZN Mktp CA*ZF1RX9LB3 WWW.AMAZON.CAON </t>
  </si>
  <si>
    <t>c6d690beef17937015f30772e5786249adecae462593cbf035e3811b72e0c60b</t>
  </si>
  <si>
    <t xml:space="preserve">Transfer WWW TRANSFER - 5943 </t>
  </si>
  <si>
    <t>leftover from paycheck clearing and paying off credit line</t>
  </si>
  <si>
    <t>todo: transfer this</t>
  </si>
  <si>
    <t>48f19b939557a7f5ca23cccc8e89840db81e475dd95f3a40f85d306c9d98d9f0</t>
  </si>
  <si>
    <t xml:space="preserve">WWW TRF DDA - 6889 </t>
  </si>
  <si>
    <t>jabra headphones</t>
  </si>
  <si>
    <t>5767f0d64711d1607f1bee1a71b033778a7e08821919e16adf0abb628484ebf2</t>
  </si>
  <si>
    <t xml:space="preserve">WWW TRF DDA - 6953 </t>
  </si>
  <si>
    <t>monitors paid by business</t>
  </si>
  <si>
    <t>8f887f412a3627ab4c12a0395b059fe1cb9031acac36c27c4b2a5875693ac543</t>
  </si>
  <si>
    <t>18d9603d4599a9aa158a0107bf41c84280d7ced9e14dc34f901a6c730074d11d</t>
  </si>
  <si>
    <t>d583d8ccc9c27f22e44375077517506116db84751566913791117bccb1f2ef55</t>
  </si>
  <si>
    <t xml:space="preserve">Transfer WWW TRANSFER - 1699 </t>
  </si>
  <si>
    <t>mistake transfer</t>
  </si>
  <si>
    <t>7100b3f36c7fa3598c66ea30fbf9f5630530fa8df491c092308be8e58bf05b5f</t>
  </si>
  <si>
    <t xml:space="preserve">WWW TRF DDA - 5509 </t>
  </si>
  <si>
    <t>23a6cf4b18a981d5de0c579faad080fad6988fef975c7d6d9d5150fefd86e733</t>
  </si>
  <si>
    <t xml:space="preserve">WWW PMT TIN0-07426 </t>
  </si>
  <si>
    <t>2026baf8add7a57adba5ce3f320ff84901022bd652d3b90e1102e322fe485cab</t>
  </si>
  <si>
    <t>230233ae94e67a181f9382130f5f859181a3daea659ffa4099cc5e83afc8764b</t>
  </si>
  <si>
    <t>a69ecc3079b0e99ec03e7e8a13178ea873651ae1b30a7d3be022a38c59297cdf</t>
  </si>
  <si>
    <t>8f754b50e2b81c9fb13289f8133f2231cc3430c41e449997e596215976b95766</t>
  </si>
  <si>
    <t>e87d4a7eb5bdafb904362ce0f636c20699b938df93357428ff8988852819c23c</t>
  </si>
  <si>
    <t>18e1c9a61d0b572e0f1d839875660a8c1cf576bc0e37e01c543099a8c8ec7493</t>
  </si>
  <si>
    <t>0934d906e7a1f33270cf5ee773b571b889ca7bae22b87d376f3f1d3b35a27c8d</t>
  </si>
  <si>
    <t xml:space="preserve">AMZN Mktp CA*G176A72H3 WWW.AMAZON.CAON </t>
  </si>
  <si>
    <t>aa72f3a9625da79aca17fc393cff466867d9606065c9f72e18fb36fd18bd541b</t>
  </si>
  <si>
    <t xml:space="preserve">AMZN Mktp CA*QZ1GE5LP3 WWW.AMAZON.CAON </t>
  </si>
  <si>
    <t>ad5c1cbcbb5b152c8c6de86fd7dda68b4d071c6b3c6230af96bf9b0c7fe4b081</t>
  </si>
  <si>
    <t xml:space="preserve">Starlink Internet Halifax NS </t>
  </si>
  <si>
    <t>e95a1d6d95ffa153f45cf8bebbe8a064a11ea58878e38808faa26febe10838ec</t>
  </si>
  <si>
    <t>54bf1f26e3880dd4ffb5b235ade59dcfdd2655f47c1d3696c55ad505a86eb6e2</t>
  </si>
  <si>
    <t xml:space="preserve">CITY OF NORTH BAY CSC NORTH BAY ON </t>
  </si>
  <si>
    <t>bdbb20427b4130a0f5e848be50450b8c129ae3245304a7fe74cae8e0c0a5492b</t>
  </si>
  <si>
    <t xml:space="preserve">MACEWEN - SEYMOUR (210 NORTH BAY ON </t>
  </si>
  <si>
    <t>cb07be10dd4d0571a702588b6060443a49b83160ad7dfa498379628401081f28</t>
  </si>
  <si>
    <t>af082829700e9fd3ae2743e21d843961b0332873c9eed5fb0b13b36e18a5be14</t>
  </si>
  <si>
    <t xml:space="preserve">GIANT TIGER #251 NORTH BAY ON </t>
  </si>
  <si>
    <t>76dce2dc080fe075aa4bfe24b0c33ffa79b352b4f369e8672aeb99392d08a834</t>
  </si>
  <si>
    <t>ed25e593867cb2a36e0bd0ce3203062ef6f9342e1f78604adeaf9c45fcea476b</t>
  </si>
  <si>
    <t>bf30d7d0f964785e96b1ffa336bb71fe6008be4e518306880e37f9d377657432</t>
  </si>
  <si>
    <t>c98c3d5b2f9131db1e0215d68b1dccf7a5d6b89c867e9c94a8ec718210000d21</t>
  </si>
  <si>
    <t>d3f3532cb7979d92d7032c06ce40cd0006337f7b8e31ade764c80dc0a44a924e</t>
  </si>
  <si>
    <t xml:space="preserve">AMZN Mktp CA*6X5WB0613 WWW.AMAZON.CAON </t>
  </si>
  <si>
    <t>ce532ffbdd9a798d356ccda7ce5a1f63361feb20d06716068d74f3d48de55ca6</t>
  </si>
  <si>
    <t>7b45de68d3af35debee1bb7001fd41b69a1569f8860c6bb50ed340d41d9efc3a</t>
  </si>
  <si>
    <t xml:space="preserve">THE BEER STORE #3503 NORTH BAY ON </t>
  </si>
  <si>
    <t>fe3503e82ad0691b65515de45eaa564843836f63cf36cc38e00e9a290522a3c0</t>
  </si>
  <si>
    <t>4d6b85801ea67f407f5b8b1d2d9a77d2cce6d9d934afbb0151548dfd2885696b</t>
  </si>
  <si>
    <t xml:space="preserve">LCBO/RAO #0387 NORTH BAY ON </t>
  </si>
  <si>
    <t>360ace28a4d6dd7905a45a44fb8ca6384317e1aedf3b40b800b298f1a7ee521d</t>
  </si>
  <si>
    <t>d35f97b81305fe3af99b85ab6fcf1e693d8f07ee4e6ab1b659c77fe61299dd76</t>
  </si>
  <si>
    <t xml:space="preserve">SP ECOFLOW CA VANCOUVER BC </t>
  </si>
  <si>
    <t>aeb0eb9f91dbbd4e28766e27eabd39cb901b355a0e6685aa708d39343ce91f82</t>
  </si>
  <si>
    <t>INTEREST PAYMENT 47.34</t>
  </si>
  <si>
    <t>29ed1d60ce4a31cb92d5f9d494adb803cd3cece028aeb9bc17268b66a3a33f0a</t>
  </si>
  <si>
    <t>LOANPROTECTOR INSURANCE PREMIUM 4.82</t>
  </si>
  <si>
    <t>99bc869f312b9ba28295df30f33677253a755609189b2477a9263be9f78efd78</t>
  </si>
  <si>
    <t>0ed3eb04323082c241fbc8e6ebb3345f646fbd0b33e055df3f42a140691e8a16</t>
  </si>
  <si>
    <t xml:space="preserve">AMZN Mktp CA*Y268C9H03 WWW.AMAZON.CAON </t>
  </si>
  <si>
    <t>Will see a skip for $35 sumthing - ignore as will flush in cheqing</t>
  </si>
  <si>
    <t>b6ba89dac8ab99a2acf8f4f90c3949caa9ccae84bc78e22f299bbb773f01fcfb</t>
  </si>
  <si>
    <t xml:space="preserve">AMZN Mktp CA*9R06E5LL3 WWW.AMAZON.CAON </t>
  </si>
  <si>
    <t>a32a66597f72b4f6be9501a2679d9f0a32e99b7f574ad52250eabf747dd6089d</t>
  </si>
  <si>
    <t>d391de33c4d7da96de6b0f48f705b9eb59e38c6adae5526f62fcd2afa443e8fb</t>
  </si>
  <si>
    <t>0392eaa68feef3940d78caf1d6eea22d6493e3dc0d450b06b4a6df8f8e74657a</t>
  </si>
  <si>
    <t>8f0094f63b3c75d500880d4d4a959af0681bf4c5e42024ae09ebded347f7afbf</t>
  </si>
  <si>
    <t>25c82dede61427762305156e1bbc0023f8db6ae1a2abd91b821a87658dac3a48</t>
  </si>
  <si>
    <t xml:space="preserve">SERVICE FEE 7EPMT/WD/TFR@$1.25 </t>
  </si>
  <si>
    <t>c222e608193e5d89b7344f542b29fccfb62ab827e90c150048c680372bdfddaa</t>
  </si>
  <si>
    <t>6bbad0ff0f6901cd58a94c50782943c5fb5930ccd2b97fc9ac2b566cfa497c35</t>
  </si>
  <si>
    <t>c5b3bdb62de6b799206e7c826a0ddd7aa65575477d60cfd6202e11d6e35be445</t>
  </si>
  <si>
    <t>a00935f4edb7ef9185b63deb9838dfa1145e62d26e6706b7372455979827c6f7</t>
  </si>
  <si>
    <t xml:space="preserve">ESSO NORTH BAY #247 NORTH BAY ON </t>
  </si>
  <si>
    <t>a39d288ad3a7f154c2f4bd433ab1fea07cfa6898311b9cafb19c74154e924fac</t>
  </si>
  <si>
    <t xml:space="preserve">AMZN Mktp CA*H96FV7GL3 WWW.AMAZON.CAON </t>
  </si>
  <si>
    <t>ee4c9d621d6cb76858934641234a05047a4d84fc2504059c42f0acbf2e1d8e4f</t>
  </si>
  <si>
    <t>d709312283ecdb05d6fcc35487c6c84b024030ed8d9c28c0c93124e96ab773f1</t>
  </si>
  <si>
    <t>0879ec9f26152265ce88abd07fc85eb199dd4a058badcab217c58fe47b9ef4f9</t>
  </si>
  <si>
    <t>21c59c31b61649537928a72c6f1c01e1cab32b56e886cabd3d9c4e46617a3e8e</t>
  </si>
  <si>
    <t xml:space="preserve">BEERTOWN BARRIE BARRIE ON </t>
  </si>
  <si>
    <t>80c9cda958c7f7c137c981d9e6bb0c8413fba03228cb5c103728458169e63f3c</t>
  </si>
  <si>
    <t xml:space="preserve">LCBO/RAO #0059 BARRIE ON </t>
  </si>
  <si>
    <t>5345cb1ee0c226c795d1847ffb49d7a7dc68c077a8f0e099ea1de3fa0ad52d77</t>
  </si>
  <si>
    <t xml:space="preserve">TIM HORTONS #1835 BARRIE ON </t>
  </si>
  <si>
    <t>15268bb443be7d177e669432e1c35765b09b9be2b5cb10a1ce2d151baae55b77</t>
  </si>
  <si>
    <t xml:space="preserve">UBER CANADA/UBERTRIP TORONTO ON </t>
  </si>
  <si>
    <t>c8dece4e2c1a16cd0cc412c58387db34d48f640daf875f90bdff98f5fdee5216</t>
  </si>
  <si>
    <t xml:space="preserve">COCINA MEXICANA BARRIE ON </t>
  </si>
  <si>
    <t>ece8232517656bcf224b6ca6e4cce7a8dc2fc8a2c372c47b3a5a36bcf3db3b90</t>
  </si>
  <si>
    <t>3acac23429b306885578786a90593b285b544c4891d8ac2a9153b7a46fb25e13</t>
  </si>
  <si>
    <t xml:space="preserve">MCDONALD'S #10875 Q04 GRAVENHURST ON </t>
  </si>
  <si>
    <t>064c9118d2524df478ca9c5e15cbd2e7cff19be356caf862fe73067e7102f5c6</t>
  </si>
  <si>
    <t xml:space="preserve">PETRO CANADA60372 GRAVENHURST ON </t>
  </si>
  <si>
    <t>manual entry</t>
  </si>
  <si>
    <t>transferred to cat for replenishment</t>
  </si>
  <si>
    <t>transferred to hydro for replenishment</t>
  </si>
  <si>
    <t>transfer in from the line of credit</t>
  </si>
  <si>
    <t>payoff from acrual: hardware</t>
  </si>
  <si>
    <t>f3dbf05014aa0781f283cf892789ce244b2bca378e0d637a50314e18294472bd</t>
  </si>
  <si>
    <t>f65446a0c41591943736c6e0093e851839d8dc956c31357959dd797d6b287e78</t>
  </si>
  <si>
    <t>382f339eeab65e1bc548aea45646c712625bb976760921f7b3699d9b05af97b9</t>
  </si>
  <si>
    <t xml:space="preserve">Transfer WWW TRANSFER - 0691 </t>
  </si>
  <si>
    <t>fdb761adb50ca2d55d12712dec83a995966ab2eefe0080a79bd385b4b798cbaf</t>
  </si>
  <si>
    <t xml:space="preserve">Transfer WWW TRANSFER - 6481 </t>
  </si>
  <si>
    <t>f629d6309544f0df9c5b8af7a044d79a08f1e3dd9761a1be6d5761db5d72afa2</t>
  </si>
  <si>
    <t xml:space="preserve">Transfer WWW TRANSFER - 8671 </t>
  </si>
  <si>
    <t>4b12f73240b9622b84e11c76e07e1dfcd1fa646ea9ecc551f719c8c01268b9f7</t>
  </si>
  <si>
    <t xml:space="preserve">WWW TRF DDA - 4417 </t>
  </si>
  <si>
    <t>replenishment from shopping</t>
  </si>
  <si>
    <t>Gerard etransfer</t>
  </si>
  <si>
    <t>from steven personal</t>
  </si>
  <si>
    <t>7dbbdcee7eb8acd67550ebbcb5dfe48469bfe986182ce98b99990e5e3def0641</t>
  </si>
  <si>
    <t xml:space="preserve">Transfer WWW TRANSFER - 1884 </t>
  </si>
  <si>
    <t>5e345e918c89cdf541d72c790fcd06a2b89ff52c7a3364f5ed0c0efa98011f7e</t>
  </si>
  <si>
    <t xml:space="preserve">Transfer WWW TRANSFER - 5358 </t>
  </si>
  <si>
    <t>56cae927b837b7ac0c75138b9eadcb26891db8646ae7dfb9f2a1fc568da2f908</t>
  </si>
  <si>
    <t xml:space="preserve">Transfer WWW TRANSFER - 5931 </t>
  </si>
  <si>
    <t>4a6e2ea4eabc3dcbd5063c5119d92c7e7b4c5b1c6aedc6f166c29176b4fd6aca</t>
  </si>
  <si>
    <t xml:space="preserve">Transfer WWW TRANSFER - 9215 </t>
  </si>
  <si>
    <t>87f1c7863967b594e4bcc9d639673a089113d924c8a6da38e0c56f9c7e8a4c4d</t>
  </si>
  <si>
    <t xml:space="preserve">Transfer WWW TRANSFER - 9284 </t>
  </si>
  <si>
    <t>c09b45952181a718173097f1998c5cb1c2b492689c3cfe3305d59ab57d197def</t>
  </si>
  <si>
    <t xml:space="preserve">WWW TFR TIN0-01884 </t>
  </si>
  <si>
    <t>22dbe075dd365a366a30d680a902228d20f61a3afac937f9a88c02159b061960</t>
  </si>
  <si>
    <t xml:space="preserve">WWW TRF DDA - 1994 </t>
  </si>
  <si>
    <t>5c7b3068dc3c95785359d91e27de2e917204e9abc3ebf0c94d74bcc4c348ee15</t>
  </si>
  <si>
    <t xml:space="preserve">WWW TRF DDA - 5358 </t>
  </si>
  <si>
    <t>ca29dd06e36a1da94880d370313e05dc618c9f1c14d1867010da1c1caefeb9f0</t>
  </si>
  <si>
    <t xml:space="preserve">WWW TRF DDA - 9284 </t>
  </si>
  <si>
    <t>63ee6b7c17c9acdb0219a56dc4cde2b3fbace149c18d0ed8fb1be9b5859f8385</t>
  </si>
  <si>
    <t>c9279c5fb3373fd0a79ee8ae25a6b6f0adf62e6e1d0e20de8da670fc70586998</t>
  </si>
  <si>
    <t>93ecaf52092a6e3a3e9ba2b30a3ae1e8a001427627f741b5928baba6198d850a</t>
  </si>
  <si>
    <t>050248b50911404378931b921f0353f167ae38f967ea8fed79f63f0b51a8664e</t>
  </si>
  <si>
    <t>f5b60971b97d4eba3430faf3571ac627dbfc5abe2807082814449a54ff168f34</t>
  </si>
  <si>
    <t>d9a38b651b68e0e5f36d1c1798fb4b33d48db0d091e79c6483f2a452e7da4890</t>
  </si>
  <si>
    <t>87446d19eda157463298e7fd4cbe4edb60984373306ad7fd7e3e8e4ec4c9ad8a</t>
  </si>
  <si>
    <t xml:space="preserve">FX CREDIT ADJUSTMENT </t>
  </si>
  <si>
    <t>fc240665516680a560eef995360d96caf97b54a0f35fa4691ad001fd5744dec9</t>
  </si>
  <si>
    <t>3f3c9ce7be323ba942ba2bd291795b740b5268646dee83409662d855e052ccae</t>
  </si>
  <si>
    <t xml:space="preserve">Transfer WWW TRANSFER - 7543 </t>
  </si>
  <si>
    <t>b0cd4aada7cd0a73f6128fb37e764f1d37c64103c2f03b36c2486a0760affcdf</t>
  </si>
  <si>
    <t xml:space="preserve">WWW PMT TIN0-07542 </t>
  </si>
  <si>
    <t>17f2da265fad78f1ec4400c60f2e866e685b4ffd94e383f6fbe02e04be4af079</t>
  </si>
  <si>
    <t xml:space="preserve">WWW TRF DDA - 7543 </t>
  </si>
  <si>
    <t>09b5f0d96168b2793a23a69d0a8663be4ea68dd3083dc257ead9f7cb88de9c03</t>
  </si>
  <si>
    <t xml:space="preserve">Loan Pmt WWW LOAN PMT - 7542 </t>
  </si>
  <si>
    <t>10c8414aa48dbd111114cf165a3cc40451e4a8a50768629d5182c974e8c8d20b</t>
  </si>
  <si>
    <t xml:space="preserve">WWW TRF DDA - 5037 </t>
  </si>
  <si>
    <t>44d4f675c6012b86d6cc211c567626aa2924980ffe2a94229f9c45a05949a9e1</t>
  </si>
  <si>
    <t xml:space="preserve">WWW TRF DDA - 7541 </t>
  </si>
  <si>
    <t>7802b393ed07e84bfe52833117fcc095f804549c6740b55ccac60c4234b37cc4</t>
  </si>
  <si>
    <t>31544ab270f29a9f42b89a75939c7ed36247108860a50c22261a9bc1d73c7011</t>
  </si>
  <si>
    <t xml:space="preserve">NORTHERN SECURITY NORTH BAY ON </t>
  </si>
  <si>
    <t>9d9eba1db9aed06254b76923212bf18f580a18968aa6187bc4a549dfdba2709a</t>
  </si>
  <si>
    <t>14f2bc8e3ee7e36fade5e51e45a0d894eac8c8852c178a596a28fbc3a92c29d1</t>
  </si>
  <si>
    <t>36b0645ee2f9801d0fdaea21592f93cb92d09332e5416fe1b1a8981eafae94b7</t>
  </si>
  <si>
    <t>37f7c8d919b325fb6f56f97f9cf3dd0fe7e9ded7e21022e0afe71e102a411878</t>
  </si>
  <si>
    <t xml:space="preserve">TIM HORTONS #3959 ST JEAN PORT QC </t>
  </si>
  <si>
    <t>fb216ceab4108a1a6dbd5371506b695e799f28941555c18e02db602f7bf51410</t>
  </si>
  <si>
    <t xml:space="preserve">EDMUNSTON SUPERSTORE # EDMUNDSTON NB </t>
  </si>
  <si>
    <t>e98c1e5fc69f89671166b16fe919f7ed9c4496c2c8ee9d1cc54fc1e93f243d26</t>
  </si>
  <si>
    <t xml:space="preserve">ATLANTIC SUPERSTORE WE CHARLOTTETOWNPE </t>
  </si>
  <si>
    <t>676ebd21a9f8d21ea78701c77948617094f0adc94290dd196c0911345ba34e00</t>
  </si>
  <si>
    <t xml:space="preserve">TIM HORTONS #1951 HARTLAND NB </t>
  </si>
  <si>
    <t>a3a97d36dc4064e80bd313c73dd6c888d93f4e168f42b931cdd4afef1f2db3cf</t>
  </si>
  <si>
    <t>ded972afc8066137aed489605a3f7b3616b1db3d8470739932ff4f850fc3ba8b</t>
  </si>
  <si>
    <t xml:space="preserve">WAL-MART SUPERCENTER#3162CHARLOTTETOWNPE </t>
  </si>
  <si>
    <t>606f524cddd682dd566a9abb146275c9866a49c17ae2fdd50cec9bac9e5bc9be</t>
  </si>
  <si>
    <t>937602e01293f980f38d4a31fa1131287f671bd706a87c1359f5b173ddf9c137</t>
  </si>
  <si>
    <t>47254fa1d0476307797f81d28499640a56bd7fc474bdab5baadec0338f4b3688</t>
  </si>
  <si>
    <t xml:space="preserve">COWS QUEEN STREET CHARLOTTETOWNPE </t>
  </si>
  <si>
    <t>667037c4a4bdb112106203da26c73ce1afa3f3c4158f81481461a42926a3d7cd</t>
  </si>
  <si>
    <t>ce6b12c4f35a8c893cb85cfc9011064abce034ad5f5488762c445e4f8185e010</t>
  </si>
  <si>
    <t>652df4e1b42ad5fae6a3954323b7c410c43810490cc8ebfb66f9305861531e9e</t>
  </si>
  <si>
    <t xml:space="preserve">ATLANTIC SUPERSTORE CH CHARLOTTETOWNPE </t>
  </si>
  <si>
    <t>1e0760edb99632d27b2f15ea8580a54d9684db1f094d81af2b1ed870a60fe416</t>
  </si>
  <si>
    <t>3e684c00c015d7e9fcf9789855b362d0c381660074c96ba2c0df62045b94c21a</t>
  </si>
  <si>
    <t>abae7caed495e36f733d8c5fab6b9d011cf187991623c137adae95423580fbc4</t>
  </si>
  <si>
    <t xml:space="preserve">EAST ROYALTY COUNTRY STYLCHARLOTTETOWNPE </t>
  </si>
  <si>
    <t>0b85040525f272afeb39cf96ca4a0996de585421f5e313e8ee8eecace796f653</t>
  </si>
  <si>
    <t xml:space="preserve">CONFEDERATION CENTRE OF TCHARLOTTETOWNPE </t>
  </si>
  <si>
    <t>574aa65a33c6dfd6518c619abc1f686ea2b2809ee500faca96ad7a8f4f3e126b</t>
  </si>
  <si>
    <t xml:space="preserve">SOBEYS #870 CHARLOTTETOWNPE </t>
  </si>
  <si>
    <t>5fc9f495e2d7ec9ea51cfba60d7a8e93ec02006b2d9c825356e7451161f3e904</t>
  </si>
  <si>
    <t xml:space="preserve">VESEYS YORK PE </t>
  </si>
  <si>
    <t>84dbb703dfcd2020cc6f3f4f1a319f3e127e5037fe3002fbc89a156bb79d9402</t>
  </si>
  <si>
    <t>d3ebb5a056716509cc166d3e10e298bd9cdac8f31474e79fee0a7c4aed6306fd</t>
  </si>
  <si>
    <t xml:space="preserve">RED ISLAND CIDER CHARLOTTETOWNPE </t>
  </si>
  <si>
    <t>80d5bb082fecfd29661bb85ee2c556562d43847e5d8b417c0b990c680a0ae427</t>
  </si>
  <si>
    <t xml:space="preserve">SLAYMAKER &amp; NICHOLS CHARLOTTETOWNPE </t>
  </si>
  <si>
    <t>50bae8b503a5e420ef5ddfee5f8e73478f1c4c8f83f210bb9da99f3fb01c3c3b</t>
  </si>
  <si>
    <t xml:space="preserve">THE CHARLOTTETOWN FILM 902-368-3669 PE </t>
  </si>
  <si>
    <t>d565727bd6315b9d5eed491a0142c2616e8b896c8f6c9ae5852b40ed6cc00dd4</t>
  </si>
  <si>
    <t xml:space="preserve">THE GAHAN HOUSE CHARLOTTETOWNPE </t>
  </si>
  <si>
    <t>d6b0aec04231d2aa6e55d4c929a3a3f8ea80b2e70aca9e9f36d5c8988df2bdda</t>
  </si>
  <si>
    <t xml:space="preserve">NOTABLES BY PEI LIQUOR CHARLOTTETOWNPE </t>
  </si>
  <si>
    <t>249fde411d338e4860ca2e65d4fe97d691cb4344b53c77cc1c6a2740c8c6c637</t>
  </si>
  <si>
    <t>51dadc8860e775b2463d36f72a45252a499e67c56c29857d77bd940d0257d56e</t>
  </si>
  <si>
    <t xml:space="preserve">MCDONALD'S #26000 CHARLOTTETOWNPE </t>
  </si>
  <si>
    <t>d96f9f5c3c8838dabb1e68b050a2d47d3bb37a156e5385b13303673d3531f768</t>
  </si>
  <si>
    <t>74de5ac79627d13456ad5ca891417e5ab9f207a16bfd569b868daea8744f1215</t>
  </si>
  <si>
    <t xml:space="preserve">THE OLD TRIANGLE IRISH ALCHARLOTTETOWNPE </t>
  </si>
  <si>
    <t>87ecb006cd9f935f957a5ef92c899c779456e5128d0afb9ae4c03a5edee4b405</t>
  </si>
  <si>
    <t>fe2f4b7e4bfe2443f16f0ee215cbe434d68a0422be616b0a5961f3f972c093bf</t>
  </si>
  <si>
    <t>377fda0b4c5541f3821f5f280f4184bee59c14cd06b02743d347e426796dd693</t>
  </si>
  <si>
    <t xml:space="preserve">Transfer WWW TRANSFER - 5069 </t>
  </si>
  <si>
    <t>2abcc4857847c9257ec26ea0c862c50f3e4268dcd7bca83a462b069140c2c824</t>
  </si>
  <si>
    <t xml:space="preserve">WWW TRF DDA - 5069 </t>
  </si>
  <si>
    <t>etransfer zach for mom laptop</t>
  </si>
  <si>
    <t>c5174b5e4f79159be13b73d7aa828160e0dda0ce5cb2d1a7626aa9e3e0e6eb57</t>
  </si>
  <si>
    <t>Payment WWW PAYMENT - 6344 NORTH BAY WAT</t>
  </si>
  <si>
    <t>11ea1c0b19303d06936045daaafffd6817601d9559168baaa7e84a6e646d4900</t>
  </si>
  <si>
    <t xml:space="preserve">CANADIAN TIRE #020 CHARLOTTETOWNPE </t>
  </si>
  <si>
    <t>662931ad31d4cf141351d7b41b72616389594761c9e2a69fdca03004474d8b9c</t>
  </si>
  <si>
    <t>c473159bad6da88b0810ebf21561f14cf5ca2120e95d81738810fd14f48587b6</t>
  </si>
  <si>
    <t>bf629f410878d9484acda37b0e014c8f03552fe418ecbf04d820dad03a335966</t>
  </si>
  <si>
    <t>adc0da66557d94689408ba3ffc787f73f67951a8dfae3a25764425b6de15fc9f</t>
  </si>
  <si>
    <t>72b9bd15fd9e324f6244a409d49d86e379b95b72ac14effacc2efd235d3e3c42</t>
  </si>
  <si>
    <t>4c2dfcd673e41b9df52e9fea9b26dba522845d7f63b2d752a9063243352ef195</t>
  </si>
  <si>
    <t>5f117fc27e2981466e2ff2137dddb79d8fbafcf13c544dfc92a79add76986356</t>
  </si>
  <si>
    <t>cb0ef076fa00f46b48b01a2c541af5d6741ef77616d52a1d11798a1496377859</t>
  </si>
  <si>
    <t xml:space="preserve">MIKE &amp; ANDREEA'S NF #3 STRATFORD PE </t>
  </si>
  <si>
    <t>69c8061d6972f68461b4ebbd8f1bda0483c7f3d8244e01d0e1173754889f7eaf</t>
  </si>
  <si>
    <t xml:space="preserve">MCDONALD'S #22833 STRATFORD PE </t>
  </si>
  <si>
    <t>a476823f226200f775a5da974cc1189e27d847a7bdae35d258a03139b6fcb735</t>
  </si>
  <si>
    <t xml:space="preserve">K &amp; A'S DAIRY BAR TAKE-BELFAST PE </t>
  </si>
  <si>
    <t>dcb43a14e0823dec3fb66736a673ff309050806367566cf15fdd39c4e5ec0d63</t>
  </si>
  <si>
    <t xml:space="preserve">MAID MARIANS DINER CHARLOTTETOWNPE </t>
  </si>
  <si>
    <t>8b6ff67572fa5b877f5eb43d784cddf3e6812f3453160670c74fd77223ebc597</t>
  </si>
  <si>
    <t xml:space="preserve">SQ *POINT PRIM LIGHTHOUSEBelfast PE </t>
  </si>
  <si>
    <t>7a2a1f7faf9193b6da065ed63a33e034157d5f987a3767c8669b21593e1eb478</t>
  </si>
  <si>
    <t>c65a07ba81b6d2be11d6f4a586baf99b90e4242210593c5afd1726678c4547c9</t>
  </si>
  <si>
    <t xml:space="preserve">ANNE OF GREEN GABLES MUSEPARK CORNER PE </t>
  </si>
  <si>
    <t>333a7a2ea6def0086513dd4f6f87d6aa29d397fe806b061488252cfcedbcf60e</t>
  </si>
  <si>
    <t xml:space="preserve">FAMILY &amp; FRIENDS RESTAURAKENSINGTON PE </t>
  </si>
  <si>
    <t>4ac548ff8f1dce10c1a4ecde7bd50958b7f39e42a91b1b2222fc39cfb308633d</t>
  </si>
  <si>
    <t xml:space="preserve">STARLIT DINER &amp; DAIRY BA SUMMERSIDE PE </t>
  </si>
  <si>
    <t>51f683d1d3a81732ad2f983e446def7559a2e6f233b5b385e56ec42b1061203f</t>
  </si>
  <si>
    <t xml:space="preserve">ULTRAMAR #12602 MOUNT STEWARTPE </t>
  </si>
  <si>
    <t>8a31fd6d177a81a57c48f5542c893e740686f3460e58201bbd03260693383935</t>
  </si>
  <si>
    <t>INTEREST PAYMENT 7.58</t>
  </si>
  <si>
    <t>d1323395bcf8e936da9bf2838e48939083a4370251c4e74db5937c37b6a09e04</t>
  </si>
  <si>
    <t>e78fdb664b73d7fe624bf8b6dd48b70dd0779b49294a0790bafadda3501f8967</t>
  </si>
  <si>
    <t>LOANPROTECTOR INSURANCE PREMIUM 0.76</t>
  </si>
  <si>
    <t>71b21839b7518aae130fc15ea71dc1cce3d368934de3f6ea20d74ae57822079f</t>
  </si>
  <si>
    <t>43d75b3d3ca855f703ea8333c940952e959dd3be4313fc3f81e0b4925cf46e7a</t>
  </si>
  <si>
    <t xml:space="preserve">SQ *HOLY COW BURGERS &amp; WIMorell PE </t>
  </si>
  <si>
    <t>174ed1ff3953c6b65883aa9da32a7cdb5f1d97c26eec01e77691d0963e21f1c1</t>
  </si>
  <si>
    <t>30711a30d1d4b6106586d33787c6d9ff3dd81b87ad7e08b5aa036b89483db2aa</t>
  </si>
  <si>
    <t xml:space="preserve">PRINCE EDWARD ISLAND BREWCHARLOTTETOWNPE </t>
  </si>
  <si>
    <t>cd3a9e9bdd1073aee9e262e8c2d9739eda76ef6a1df7ed0fdf2d211c0cc18232</t>
  </si>
  <si>
    <t>7cb9816431b2696d0a56d9defecab39633faaf9b2379f4e6968e22f6ee722ba2</t>
  </si>
  <si>
    <t>f83a5e65e81ef65785d88d44aaba8181df3fb5efbc1e1968ef94a2c20ca1a39b</t>
  </si>
  <si>
    <t>31f2fdd08e61aa9435faf0c632cd43a7283a0603a9bae0a605823a9b93b264cd</t>
  </si>
  <si>
    <t xml:space="preserve">MACPHEE'S MARKET SAVEE SOURIS PE </t>
  </si>
  <si>
    <t>c35505258acfe0c3767db3236260fdada930c8191343416e04cf77057b2d4a74</t>
  </si>
  <si>
    <t xml:space="preserve">ROBINS DONUTS #5085 MT STEWART PE </t>
  </si>
  <si>
    <t>946001ae46c0ced4ab556d29ecafd320c9c695ab7ee59eeba025c64b679a1fd5</t>
  </si>
  <si>
    <t xml:space="preserve">SOURIS LIQUOR STORE #2 SOURIS PE </t>
  </si>
  <si>
    <t>773cfb845ab6160f9655cbd92c2384b869a370f24b268352688369da28ea9f64</t>
  </si>
  <si>
    <t>db734f53f344ba5d0e5151c52c7521fdda33681839bd4c9e1e492787de467805</t>
  </si>
  <si>
    <t xml:space="preserve">Naturally Yours Souris LSOURIS PE </t>
  </si>
  <si>
    <t>16a13648df996606117855bb8565e65cbfaf8254681a65b85f6cdcb4edfd3e3e</t>
  </si>
  <si>
    <t>dfd519179e23fa2f0169c46c337c828886ce4e0d5d17339f6d81ea6bb3ced7b9</t>
  </si>
  <si>
    <t>b2f5b526f960a2887e3791a36860eaa4465abca317ccb8203b52991db07dd9b2</t>
  </si>
  <si>
    <t>944a5217a332d97f959663fa482ee598f143d2dfbc06bdca7cf86330e59da0a5</t>
  </si>
  <si>
    <t xml:space="preserve">Transfer WWW TRANSFER - 8639 </t>
  </si>
  <si>
    <t>3d18912974eb8aef362477bbe8007a3c1fb259f0cc4fb055a16ee1d8f7c1b8ee</t>
  </si>
  <si>
    <t xml:space="preserve">Transfer WWW TRANSFER - 9967 </t>
  </si>
  <si>
    <t>66ba0c14e20247cd82f44b4b93db0299fea6c6c23826638ecf2ce51530c04c47</t>
  </si>
  <si>
    <t xml:space="preserve">WWW TRF DDA - 8639 </t>
  </si>
  <si>
    <t>3e3bd1e73d3cab8a4e377f01e7a0be767408e136f2496015ad952395f537ee64</t>
  </si>
  <si>
    <t xml:space="preserve">BLACK &amp; WHITE CONVENIENCECHARLOTTETOWNPE </t>
  </si>
  <si>
    <t>5fc506ce94d895be5cd86fe06cd23e33f26e1c8b9ef834cf00ff8bf43a5eec58</t>
  </si>
  <si>
    <t>b245c019fd22d2faff51bf2aec84e36d0bf933b777859623020d645abbe02e9a</t>
  </si>
  <si>
    <t>891754433732851aced84b67c0f367fc45f7c538d193a0e6ba548ab6e2781ebe</t>
  </si>
  <si>
    <t xml:space="preserve">PEI CMC CHARLOTTETOWNPE </t>
  </si>
  <si>
    <t>fb7de26c6cd7dc18717d6210465c32be72bad2d4065423051ae9ce6c1e64e3a5</t>
  </si>
  <si>
    <t xml:space="preserve">THE CHARLOTTETOWN FILM CHARLOTTETOWNPE </t>
  </si>
  <si>
    <t>bcf05ce68556f65c7caf9f5b4f9967e59136e4b4065a9d3b2590eaada3a3592c</t>
  </si>
  <si>
    <t>465823348515ae9366d432c5da5bdb997d7ff0e58460589c402c5f7a7b92dded</t>
  </si>
  <si>
    <t xml:space="preserve">GAP OUTLET 2428 CHARLOTTETOWNPE </t>
  </si>
  <si>
    <t>7e30ed15cc9cced517132b546bcb6b0c223413a58b14f9766f0092aeb102961c</t>
  </si>
  <si>
    <t xml:space="preserve">OLD NAVY 3433 CHARLOTTETOWNPE </t>
  </si>
  <si>
    <t>7377cf0a658cbb88ff2405cb5be5a66b93b8e3d61515166a4644a74d8aabc860</t>
  </si>
  <si>
    <t xml:space="preserve">WWW TRF DDA - 9967 </t>
  </si>
  <si>
    <t>transfer to business</t>
  </si>
  <si>
    <t>682e97564bbe8fb112331575c8b24406cd77da282328bfaf0f6d2103eb241401</t>
  </si>
  <si>
    <t>128db29a656a2783c6c6c55f0eafed368cc3c636ce28a40806f0864fc9987d0f</t>
  </si>
  <si>
    <t>c7835251d42314a1f2b6b3455db0ebaaf95e926f38c302f3b8daa412ce6dcb31</t>
  </si>
  <si>
    <t xml:space="preserve">PETRO CANADA14247 CHARLOTTETOWNPE </t>
  </si>
  <si>
    <t>transfer to entertainment</t>
  </si>
  <si>
    <t>correction???</t>
  </si>
  <si>
    <t>transfer from credit line</t>
  </si>
  <si>
    <t>892878c33ec10cdee2df119000e3a280135606c6bd92f624552d5f597f2d5944</t>
  </si>
  <si>
    <t>7de634812055db9c3ddd0b8fa067a3fbda056a867073ce6ed3c4d19b7eed8394</t>
  </si>
  <si>
    <t>transferto credit line</t>
  </si>
  <si>
    <t>fc84e541c2ca35c20b1de29ebfafa0477759958636b3afd435ab0a02dfcce3ad</t>
  </si>
  <si>
    <t xml:space="preserve">SQ *ALL POINTS EAST CAMPGSouris PE </t>
  </si>
  <si>
    <t>transfer from shopping</t>
  </si>
  <si>
    <t>transfer from clothes</t>
  </si>
  <si>
    <t>trnasferfrom alcholo</t>
  </si>
  <si>
    <t>transfer from date night</t>
  </si>
  <si>
    <t>transfer to interne</t>
  </si>
  <si>
    <t>transfer to phone bill</t>
  </si>
  <si>
    <t>transfer from grocery</t>
  </si>
  <si>
    <t>fb8cba8132635b43e6224f3ce9452c409d84803344538abfe86699a1d2fecb04</t>
  </si>
  <si>
    <t>8ca61a4301cca96d2671819e0eedd287953d304128ab75e9c9bac655a9f89b6c</t>
  </si>
  <si>
    <t xml:space="preserve">EAST POINT LIGHTHOUSE CRAELMIRA PE </t>
  </si>
  <si>
    <t>e86b03285de3540057f577cad2bbb2c40e588d73471f78ef92964eb795d152e2</t>
  </si>
  <si>
    <t>75f5812b8c0d26a653e0b93fbadd70ae906a2596d252526e7781b5006bc4cb06</t>
  </si>
  <si>
    <t xml:space="preserve">MCDONALD'S #29055 MONTAGUE PE </t>
  </si>
  <si>
    <t>c08b9aff2a937af28f85d586354d8033ed58db4e0c9337a2c62aebb71e1eba4a</t>
  </si>
  <si>
    <t xml:space="preserve">THE LUCKY BEAN CAFE MONTAGUE PE </t>
  </si>
  <si>
    <t>ac523549ac721d396eed2c75d5db9c8e6a6db664c13ae607d6a878d08f60ec60</t>
  </si>
  <si>
    <t>faf3ae43fbb53c124d866874c10f4cc8e0159680eba06f98e0f234a3ebba8b6c</t>
  </si>
  <si>
    <t>e79e4186d4b928127d4e676ca6259cd94b114a556f805f950a28536dce656fb2</t>
  </si>
  <si>
    <t xml:space="preserve">Transfer WWW TRANSFER - 7444 </t>
  </si>
  <si>
    <t>0e413cdc90a2e0f75f88ab61c183d3fa5f425c5947f9cf5db0469db7d5b64d27</t>
  </si>
  <si>
    <t xml:space="preserve">Transfer WWW TRANSFER - 7458 </t>
  </si>
  <si>
    <t>48d96c4f839aa323d4b49d5097f5a401f5a124f95cbac96e6e70fca9337d12df</t>
  </si>
  <si>
    <t xml:space="preserve">WWW TRF DDA - 7444 </t>
  </si>
  <si>
    <t>6dea2ccc64287a296832d9a7b4064074666c7d6461b59a0bf6e1136c75969385</t>
  </si>
  <si>
    <t xml:space="preserve">WWW TRF DDA - 7458 </t>
  </si>
  <si>
    <t>4232cca625ad190abd901a87173163556178a424b57a6f7cd5f6e949e58c52b2</t>
  </si>
  <si>
    <t xml:space="preserve">Transfer WWW TRANSFER - 2396 </t>
  </si>
  <si>
    <t>whats this</t>
  </si>
  <si>
    <t>f69e38efba1fa50b1908f2c576350802c87c87d4e1e13a39dafe0ae20bf76f02</t>
  </si>
  <si>
    <t xml:space="preserve">WWW TRF DDA - 2396 </t>
  </si>
  <si>
    <t>bbd76de224f472986ce62cdf655135e71c511d78ffc69a0448c17d6ce7b7deca</t>
  </si>
  <si>
    <t xml:space="preserve">Loan Pmt WWW LOAN PMT - 8439 </t>
  </si>
  <si>
    <t>ac4143e6c17fc0075510b94e00891c39f27f5a7d375810ac01d85eb915941651</t>
  </si>
  <si>
    <t xml:space="preserve">WWW TRF DDA - 5977 </t>
  </si>
  <si>
    <t>3eb45d1a7facbe736ff86749d050cead22aaba605e5c7c301c8c92070af9b6f2</t>
  </si>
  <si>
    <t xml:space="preserve">WWW TRF DDA - 8440 </t>
  </si>
  <si>
    <t>bb449a3fe1f07a4eb17d82b92e0e84fe08f8a3d13bac3a228f526394dc544ee0</t>
  </si>
  <si>
    <t>5d7783ddb8be5b1d0a0598825dbcfced672c2f00f4513954193cebba27c35cb6</t>
  </si>
  <si>
    <t>81234f9e34af280731eb9dfa128f65b13138ba7fd72ef5f67e96ff113ce97053</t>
  </si>
  <si>
    <t xml:space="preserve">BUNS &amp; THINGS BAKERY CHARLOTTETOWNPE </t>
  </si>
  <si>
    <t>280be8152400092f08cb15e68ce84f1165fb77c833378cbec9abf4cb8f05adef</t>
  </si>
  <si>
    <t>c482eeb6a522a44037d08a2c809e50ae6d458198da6ce6a7342d703dc43ff1fd</t>
  </si>
  <si>
    <t xml:space="preserve">OAK TREE LIQUOR STORE CHARLOTTETOWNPE </t>
  </si>
  <si>
    <t>21081823619e1494625e75bd0a4531e027c7a53a87a64c69ebb977d3b6e33028</t>
  </si>
  <si>
    <t xml:space="preserve">WILD IMPULSE ADULT NOV CHARLOTTETOWNPE </t>
  </si>
  <si>
    <t>eae95aa248b4512aadd21eb239668ef09c91e806e211079220b606bff6e722f3</t>
  </si>
  <si>
    <t>32c977cbfe4fc2a53d83f4b6254e8e55671058d23356f80e749822e05ec215f3</t>
  </si>
  <si>
    <t>6d972bcb167eb7f4befda3304552ef7798250044e84cc6c8a1702492adfcfff9</t>
  </si>
  <si>
    <t xml:space="preserve">BURGER KING #06658 SUMMERSIDE PE </t>
  </si>
  <si>
    <t>072926a884541ebabf5d46b87ed2a79710eef77ca0c7c8378e4157cf53dd1504</t>
  </si>
  <si>
    <t xml:space="preserve">WAL-MART SUPERCENTER#3644SUMMERSIDE PE </t>
  </si>
  <si>
    <t>9002fffb3762c5892c2e16afda46c6d26d4951da456b0868165ad3cb54d08157</t>
  </si>
  <si>
    <t>2999e9a9f155761d4e8e22a0b8259cf8ebbf2163b8c5cdd63bdb37fe8bfc0a2a</t>
  </si>
  <si>
    <t xml:space="preserve">CANADIAN POTATO MUSEUM O'LEARY PE </t>
  </si>
  <si>
    <t>b8122cf5178a04c0879e90909aaa2a8b57c93a65f09da844e811e4d565bcd1a5</t>
  </si>
  <si>
    <t>495e7fd55a68347c51f43fcb295b57ccedac2e82755f252be57e1af86634d27d</t>
  </si>
  <si>
    <t xml:space="preserve">ELMSDALE CORNER GAS CO ELMSDALE PE </t>
  </si>
  <si>
    <t>f3d9c2a51ba2b9b4f1c33b225815c281aea76558a897233aef6f0465e8aaca7a</t>
  </si>
  <si>
    <t xml:space="preserve">SQ *WEST POINT LIGHTHOUSEO'Leary PE </t>
  </si>
  <si>
    <t>d221450ec82b5dc85973414ce5546d5af0ba765fd28c436747c9a604cf708e18</t>
  </si>
  <si>
    <t xml:space="preserve">BERNARD'S QUIK MART SUMMERSIDE PE </t>
  </si>
  <si>
    <t>87d3a26f557eff36b523b55bdea10116d0c8b367d198cfd57ee1ee9dec2728f1</t>
  </si>
  <si>
    <t xml:space="preserve">SUMMERSIDE DISCOUNTERS SUMMERSIDE PE </t>
  </si>
  <si>
    <t>785f9eb4a03199f8cfe96a82292f5bc4e6f78b5fd66a51902f1254353d70260d</t>
  </si>
  <si>
    <t xml:space="preserve">PETRO CANADA10462 SUMMERSIDE PE </t>
  </si>
  <si>
    <t>8bf9a5d2741d3c07cd66b38e6bbff17b0cc3b455954ce4a7f14df6d7e28da553</t>
  </si>
  <si>
    <t xml:space="preserve">ESSO COUCHE-TARD 2343 SUMMERSIDE PE </t>
  </si>
  <si>
    <t>1a7c08e49b84d2ed8ba41362c27ad9dcc3d943ff87e61e595d2bd59008fe52b5</t>
  </si>
  <si>
    <t>87d39be2e9fd4e8e41acdb3bad22ee2419c714670f5368988acb7bf945203cf8</t>
  </si>
  <si>
    <t xml:space="preserve">DOMINO'S PIZZA #10951 902-888-2088 PE </t>
  </si>
  <si>
    <t>ad227eb76011b968b7254e05c9f9245c47b91ffa122ebd1ea9f92f0921622200</t>
  </si>
  <si>
    <t>984eedae1a4b2b8bd9c35734cee2e6859f2ec0698255a3383fea0552874c3d62</t>
  </si>
  <si>
    <t>cb0af053ffb695c92de284fe3af0599037862fd2af94ccd5afd75873db102834</t>
  </si>
  <si>
    <t>16d038a7f9ac678b26975931c954093958cb2b9107765b9607238db467e74021</t>
  </si>
  <si>
    <t>Payment WWW PAYMENT - 0206 NORTH BAY WAT</t>
  </si>
  <si>
    <t>be793558a3acd3e6c2dd1bba96451c1c34ea38ef99f766273b74fa20844fc9c8</t>
  </si>
  <si>
    <t>40efa87bb8b5106a3eed410741cba1a9705e30c7f2ea7c16fdc5125a042d7c88</t>
  </si>
  <si>
    <t>22150b3e38365a83ae3c5df49c03f41646f564918eeee9cca7089ef6f81f04ff</t>
  </si>
  <si>
    <t xml:space="preserve">SHADDY'S SHAWARMA PALA CHARLOTTETOWNPE </t>
  </si>
  <si>
    <t>d3a1d11cc5fd7aaef34372a26c03118b642fc5e1dc71df5b53a89276d2477b7f</t>
  </si>
  <si>
    <t xml:space="preserve">TIM HORTONS #5241 SOURIS PE </t>
  </si>
  <si>
    <t>0caf4e29a690aac6849ba3aff98ff9867fe08de36ff9ff77ef47ad8e26ac4610</t>
  </si>
  <si>
    <t>035812cf4e880c71e3cfb9ebbf9b22b9df0503680d036d4a77c92277b63efa91</t>
  </si>
  <si>
    <t xml:space="preserve">EAST POINT LIGHTHOUSE EAST POINT PE </t>
  </si>
  <si>
    <t>ad0ec2dc0c5db4add0d1991e32254c86bc4e26ddea0fb49038dd21b9dfbe0756</t>
  </si>
  <si>
    <t>e175ee68685d368c62e91237833e38c4e6d2be79d0e10f8aea9377ab75eb1b28</t>
  </si>
  <si>
    <t>603c659f9d4b0015cbd43e39ab2a3e7ad0dc87012d0a6461de708931b781e3f1</t>
  </si>
  <si>
    <t xml:space="preserve">SQ *THE FIDDLING FISHERMASouris PE </t>
  </si>
  <si>
    <t>61cba66d7ff5e6d5bc41ae3a17d285bbc0a57d0ff53d5ee6034dda00fd54d03d</t>
  </si>
  <si>
    <t>1afe886eea0826b00135c1c76dfab2e57abd667eb0feb2661a6555a93b24322e</t>
  </si>
  <si>
    <t>ae9746ae9a1e5089e1507bbeb1f08139258930212cac5bc3f293a6ac6b7616c6</t>
  </si>
  <si>
    <t xml:space="preserve">BIG BURGER CHARLOTTETOWNPE </t>
  </si>
  <si>
    <t>5e586214a3e7653b423023d18ec5de09a5bd549042ce952f225ae16a7fc4754a</t>
  </si>
  <si>
    <t>1bf34f361f9e53f383b3ee0c47a6e5994e50b8f002e9bf7493a650f90d053552</t>
  </si>
  <si>
    <t xml:space="preserve">DELTA PRINCE EDWARD F&amp; CHARLOTTETOWNPE </t>
  </si>
  <si>
    <t>31f471504ad40d2b06af71bf7d6f7af78203580e101aea9eed7005b8031aceea</t>
  </si>
  <si>
    <t xml:space="preserve">SQ *MC LEANS PEI POTATO FCharlottetownPE </t>
  </si>
  <si>
    <t>afff9a82617d1950e1fd7a821305ada82a5de0a4e8477b5ff8cc61e620b7d78d</t>
  </si>
  <si>
    <t xml:space="preserve">SQ *PRETZEL, PINT &amp; PICKLCharlottetownPE </t>
  </si>
  <si>
    <t>f810b36710bc1ff3f076ebaac839052aea5131219aa787a565d45190de9e0028</t>
  </si>
  <si>
    <t xml:space="preserve">UPSTREET CRAFT BREWERY CHARLOTTETOWNPE </t>
  </si>
  <si>
    <t>c620d18caa2d1cc4a53f441dabdbe903d67fb3cfb9632b3591da7bca23d96d34</t>
  </si>
  <si>
    <t>aa16bbe7decc5cc3baf424b6f11be75722fef7d1ffd802b0b85fddd60b1b7a89</t>
  </si>
  <si>
    <t xml:space="preserve">PONY BOAT CHARLOTTETOWNPE </t>
  </si>
  <si>
    <t>3e2ac9f2e5058d29b6b49d49e8a4235a5e0fe7cedc812c4ad97b3c5f3320ada3</t>
  </si>
  <si>
    <t>59319cded90965ec9233028728d623df5952146712a7047685a0de39df1abc9c</t>
  </si>
  <si>
    <t>4ae7bb37eda0b43792f87439f103fda92de55a2b769fbd01624f75150847618e</t>
  </si>
  <si>
    <t>2d1166b74f8992ecd3900ab8ceebe6e7bbbbaf423082b7fc42e51adce656ae8c</t>
  </si>
  <si>
    <t>9a2ddbb4919836093d97cb26fe372a0df9ca60fe8ebc194711bf47ea3055ba88</t>
  </si>
  <si>
    <t>9edc2d1c4308e31de568b98ac31dd5d84256121864c27a4f162cdfade7dbdae8</t>
  </si>
  <si>
    <t>3d358be4776cfc30caaa6b0293d1a662a3a6f57d207c8ff97c904cc06d591f3c</t>
  </si>
  <si>
    <t>d006029d9ea19a7f7fd3e6a16293156238b5c5571b269473bf3aa843fa7e2bbe</t>
  </si>
  <si>
    <t>8ed7f73a4a87076dfe7137193c0cd19d64c99a10e72bd4efd2b8ea6f46fa076b</t>
  </si>
  <si>
    <t xml:space="preserve">GOOD'S YIG #1636 CORNWALL PE </t>
  </si>
  <si>
    <t>53df8fd7250d7895bdbae7aa8a121a191dc76bf412ed1d51e998ae7697b9889c</t>
  </si>
  <si>
    <t xml:space="preserve">HOLIDAY HAVEN CHARLOTTETOWNPE </t>
  </si>
  <si>
    <t>a7744336923d9c34d9cfa5a6b09165aeeac4a76f1445bf3e6e9e70c3c2bac099</t>
  </si>
  <si>
    <t>750ba08e4c45b33c7f512edf12b2d52e940352412aeff04481e40703f720abe9</t>
  </si>
  <si>
    <t xml:space="preserve">ROYAL GARDEN CHINESE CORNWALL PE </t>
  </si>
  <si>
    <t>109d6cbad08093dbdc0c27ca8c80be62fde71372fbbe7c6d4352ecce797d8fd8</t>
  </si>
  <si>
    <t>e0ddb5e710f0a6e7e55257384c3b3638a7a0b834353029f6cab78cfa23a1567d</t>
  </si>
  <si>
    <t>2f77a89a690f59ab5a351d17c2b8b8d4f99c5ef4dfb145fd184c8f8c1c825efa</t>
  </si>
  <si>
    <t>bb7fa8ab48c0bf232570019ee493627cc537cc122bc3730702e9eda4e4574b8b</t>
  </si>
  <si>
    <t xml:space="preserve">LS BASS COVE LTD. CORNWALL PE </t>
  </si>
  <si>
    <t>1c249476dcac64b1beeaee08846cb030dffd44c0a5f3a6513cc45ef9839e23b0</t>
  </si>
  <si>
    <t>bc4b79430dda313edb76a14c9b1c8514f313b5c6cb2f96eabf7e2e6a8c93a40c</t>
  </si>
  <si>
    <t>96f7ad5ecb9471b9d8ec1f12a272dacf684c38a002ff76b1c388db663cf1deb0</t>
  </si>
  <si>
    <t>94cfdbd30640fefd400c4e6b2e1fd5f54537e015cb3982899a584393ff381475</t>
  </si>
  <si>
    <t xml:space="preserve">COWS CREAMERY CHARLOTTETOWNPE </t>
  </si>
  <si>
    <t>dbf4b2ffd15712811aa4cd2da3542eb84433da348d22ddc382d86bb9c4938d75</t>
  </si>
  <si>
    <t>e83d24df34fe6cf6aa95657cb38affb6fab2cae40cbfeb49f0dc1f1e284a8d68</t>
  </si>
  <si>
    <t xml:space="preserve">STRAIT CROSSING BRIDGE BORDEN PE </t>
  </si>
  <si>
    <t>9a5f338621a76c320d0a3d316e2ca92be03b8409539d0e67ba7a00ca7b4c6719</t>
  </si>
  <si>
    <t xml:space="preserve">CORNWALL QUICK STOP CORNWALL PE </t>
  </si>
  <si>
    <t>234342b44ca7f02f1a140820ebef8f33564c1c1d0a95a8033224cc3a5d052485</t>
  </si>
  <si>
    <t xml:space="preserve">BOSTON PIZZA #437 PEMBROKE ON </t>
  </si>
  <si>
    <t>ff8acdf4bcc7741b70df3e7b810f0f740a8e3209b6de55f8322b20c62fa8e222</t>
  </si>
  <si>
    <t xml:space="preserve">McDonalds 17867 WOODSTOCK NB </t>
  </si>
  <si>
    <t>60ae5e92f37537ab076eb4e565ed79339b1769682b6442a23a28b32c06782c7b</t>
  </si>
  <si>
    <t xml:space="preserve">TIM HORTONS #0919 WOODSTOCK NB </t>
  </si>
  <si>
    <t>e6357c9066fda09a30c4cc5a6bb83b188c2ab1931afeb1f3fa7a04f0f7e47d04</t>
  </si>
  <si>
    <t xml:space="preserve">TIM HORTONS #8156 ST-LOUIS-BLANQC </t>
  </si>
  <si>
    <t>814dbd0925abd72e3bd77f01547fd673aaf10f430393fa5fb6de70338fd691f9</t>
  </si>
  <si>
    <t xml:space="preserve">WILD PREDATOR NORTH BAY ON </t>
  </si>
  <si>
    <t>5e3566cd8e861b53f8fd7f1e5edde50a4a64054e7da6d9c312767a8a9fca2ac9</t>
  </si>
  <si>
    <t xml:space="preserve">AMZN Mktp CA*RG55N68Q2 WWW.AMAZON.CAON </t>
  </si>
  <si>
    <t>1ef1051ae431f1dc549d98f432e55e418c850d4fb422a4c3c2e47da9c4ed8ed8</t>
  </si>
  <si>
    <t xml:space="preserve">POPEYE'S SUPPLEMENT N.BAYNORTH BAY ON </t>
  </si>
  <si>
    <t>7aea61f167acb9961d4032cd3432e9e13d7788329f640da2323b8513cbacb41b</t>
  </si>
  <si>
    <t>1a4549a624f76c7b2350d8e2f5efd40aa20d6c64bfccd4cb576e16a71c487308</t>
  </si>
  <si>
    <t xml:space="preserve">TIM HORTONS #1710 PEMBROKE ON </t>
  </si>
  <si>
    <t>12a64d36997cb9fa647c4b75ac229bb8afdc2aa2ae9fa607b89b3b4753d9b1d7</t>
  </si>
  <si>
    <t>ce7e0c0bce3b74aa6ecd2175f8d1d5eb03481ead6950aebc639f42fe8996f4fa</t>
  </si>
  <si>
    <t>c9b25b0afdbd13c541334a5d92e5dee6ae028b1b40f0086b98e4a2a0d116db1e</t>
  </si>
  <si>
    <t>66a05c7e71398973e5f6315617b2d0a6fa726614dbb7a3d21744885b71063625</t>
  </si>
  <si>
    <t>bf2cd96f743c7f8369d08448cb41087194177bd0d4d546dadb0de930ab20a6bb</t>
  </si>
  <si>
    <t>b6ea20b60dc745deabd97b5c1fbdab9e8de26dc5bd4d6ee732fc5329262dd9d9</t>
  </si>
  <si>
    <t xml:space="preserve">URBAN PLANET #1893 NORTH BAY ON </t>
  </si>
  <si>
    <t>05e1e13ed456bd16b7ae80143799c42431d50b43386aaff1993793d532a73263</t>
  </si>
  <si>
    <t>b843b16015d47d03e8b1f923e5d7f01a5a27eceabc42b8f7b3fa7f34fb548b30</t>
  </si>
  <si>
    <t>25c3a0982c1605057c3eb35cb3b6a19864c6a45cf3865c7e81ed8e47b04c6f08</t>
  </si>
  <si>
    <t>c39c347d38dde0903f3a3d1799f337306c09504e44f6dbb8cf152d4605dafe2e</t>
  </si>
  <si>
    <t xml:space="preserve">SERVICE FEE 9EPMT/WD/TFR@$1.25 </t>
  </si>
  <si>
    <t>e895d8e2863a3470126a5f372315107402f2778d157fc0babb8d94a3a59ac66f</t>
  </si>
  <si>
    <t>66d85ecc6c0920df4be8252159511b2edbf0aff26fb43e561639311d41f99c59</t>
  </si>
  <si>
    <t xml:space="preserve">NETFLIX.COM 844-5052993 BC </t>
  </si>
  <si>
    <t>263a62b2ab4a9670c83ee86686584de1a4e33aa61449b017511c086ebc545b1e</t>
  </si>
  <si>
    <t>6adc2d31bdf97ab0f496dec9334d4d605fdac8b0497d9d455c16430b60167467</t>
  </si>
  <si>
    <t>4bcd21841ccee832eefe4dd88a42e2f5a2933ded5e05d3d9efbdb971cc90a232</t>
  </si>
  <si>
    <t>143b466a2c6915e3b25d8a875357c460c986359ae10a2a85e352c2a5f2c8b0fe</t>
  </si>
  <si>
    <t xml:space="preserve">AMZN Mktp CA*RC6D48152 WWW.AMAZON.CAON </t>
  </si>
  <si>
    <t>20fdc3df56f7db911d36e0917686a3697ba86551b74f3919e2a31bc883f52499</t>
  </si>
  <si>
    <t xml:space="preserve">AMZN Mktp CA*RC9D23XT1 WWW.AMAZON.CAON </t>
  </si>
  <si>
    <t>fb0337f8cb1aab04f4e76dfb429c2879b83902a949c2ae5697905494048044c4</t>
  </si>
  <si>
    <t xml:space="preserve">GOOGLE *Google Storage g.co/helppay#NS </t>
  </si>
  <si>
    <t>fd7c696d14019b8e01a50ee448ac047137a210ee602ec247126da030856d8630</t>
  </si>
  <si>
    <t>Mel etransfer</t>
  </si>
  <si>
    <t>cd813223cbe15c5c7c71b2a97a3d9cb0f017aabc815bac0fd742aa0fef9c8ff6</t>
  </si>
  <si>
    <t>61e1a529854bc321e0363ca210a72e30e622afe7b567e0418d1bbcf93db069af</t>
  </si>
  <si>
    <t xml:space="preserve">AMZN Mktp CA*R73ZA64O2 WWW.AMAZON.CAON </t>
  </si>
  <si>
    <t>5bb0e13329996e5a827169ac7d61829452a27e8d2804e78a3f49c389ec5b6807</t>
  </si>
  <si>
    <t>5fdcd1557293926919dccd4c88c28bd17fb17098023b24a424bec8276bd82f8d</t>
  </si>
  <si>
    <t xml:space="preserve">Transfer WWW TRANSFER - 5111 </t>
  </si>
  <si>
    <t>13b5dac8f670717120b599c23c1075a3ba9d2cf1eb4b642e47c2d15f1807955e</t>
  </si>
  <si>
    <t xml:space="preserve">WWW TRF DDA - 5111 </t>
  </si>
  <si>
    <t>24be8c49b96f46ce3123b1de9aa1edeb99df12bf98306f84b1539bfac31b8c4c</t>
  </si>
  <si>
    <t>f929643bfe3d8445940e75467f8346345ed56fd0a00a58cb9ee56c3e4d7bb4e5</t>
  </si>
  <si>
    <t xml:space="preserve">Loan Pmt WWW LOAN PMT - 5109 </t>
  </si>
  <si>
    <t>302b2b5ce14e28eee64fca6b6497977f6807f3ab2f757c67eabe1d3f319a3bcd</t>
  </si>
  <si>
    <t xml:space="preserve">WWW TRF DDA - 2624 </t>
  </si>
  <si>
    <t>9bd4851d9ad967c840b3f9c5822ebb03431a642520a83d902eb2228b43e12a8b</t>
  </si>
  <si>
    <t xml:space="preserve">WWW TRF DDA - 5110 </t>
  </si>
  <si>
    <t>10c6af2cb031a81f9653334ad967fc2a30acc54b266fe07a6a0b912d13b3bc86</t>
  </si>
  <si>
    <t>d68d4c3b2f78df5d17933d8426dea8e8a350236ebf94b5ec1165fa40a410d575</t>
  </si>
  <si>
    <t xml:space="preserve">SOBEYS 4160 NORTH BAY ON </t>
  </si>
  <si>
    <t>632bf2c079af25b38fb626a18dca6f487b3ecf1469469528c66bc440f8f493a7</t>
  </si>
  <si>
    <t xml:space="preserve">HOMESENSE 145 NORTH BAY ON </t>
  </si>
  <si>
    <t>gerard</t>
  </si>
  <si>
    <t>rebalance from pei trip</t>
  </si>
  <si>
    <t>aaae0c871203a81ba879d42ea3c52854bde095b8dba33dbbb7f5cf3cc3d91ecf</t>
  </si>
  <si>
    <t xml:space="preserve">AMZN Mktp CA*R71116X01 WWW.AMAZON.CAON </t>
  </si>
  <si>
    <t>99110021a80cc26cb1a9ddfc2808bb5ef803cdae691bce596d8bf052e179499e</t>
  </si>
  <si>
    <t>remember to ignore the incoming transaction for transfer</t>
  </si>
  <si>
    <t>rebalance</t>
  </si>
  <si>
    <t>e8a386053f7b25b47fb3015f01564668df3a4d6cb70d6cf8ce3a5c81d2eb3b87</t>
  </si>
  <si>
    <t>gas to business card</t>
  </si>
  <si>
    <t>cb9f14e8304e9b0c350a9e936dc523ff29cf57ae4af7e2341116ded3443f21de</t>
  </si>
  <si>
    <t>925311e0358339e98f86a8cdf360bee3712ea750ba351c3d0b6bc830aed203e5</t>
  </si>
  <si>
    <t>24b775678371b68edc34c7cfe6f992e8c1d4866314771d262c2d903bdf3bedff</t>
  </si>
  <si>
    <t>ee608e495010233b97ea6fcd7f172a5c1a8701e61b566880bf9d499b117afdae</t>
  </si>
  <si>
    <t xml:space="preserve">DOMINOS PIZZA #10332 705-495-6969 ON </t>
  </si>
  <si>
    <t>a8120b14c4e602948c79d4e9129d7d48513c1597bab01199257e5022736683ee</t>
  </si>
  <si>
    <t>0221f9ffe9f5b371e40b7529ad1da70b3a83a88ae0747dd526e2b50176a3cfe8</t>
  </si>
  <si>
    <t>478d2e3e46c674c3306f658e563eec2ca50e19b510053427f1e5dd6407dbe398</t>
  </si>
  <si>
    <t xml:space="preserve">RONA 08885 NORTH BAY ON </t>
  </si>
  <si>
    <t>95c28ab205a2fe344f9debac69666f738600cc51ebb31f5ee737a37b4b5c6437</t>
  </si>
  <si>
    <t>55762c9efe95a6a821de7a34faa6d4e4c63281be93e4c749c836324df11c2f07</t>
  </si>
  <si>
    <t>f9e90d22049df80b536c886de45eca921079bb450064f2eed805932080198a05</t>
  </si>
  <si>
    <t>61165f8dff820aec9c5a97d5555848035e722436b27dd7be67dcd9575214d5a1</t>
  </si>
  <si>
    <t xml:space="preserve">Transfer WWW TRANSFER - 2047 </t>
  </si>
  <si>
    <t>94870f956315e276921ffad8ca63280260ef18baeaa6beaefb0a6babdc0fbb15</t>
  </si>
  <si>
    <t xml:space="preserve">Transfer WWW TRANSFER - 4766 </t>
  </si>
  <si>
    <t>3632c8cd633d81323b8491ce70d67302092b964cd5183574974756cb4bc65875</t>
  </si>
  <si>
    <t xml:space="preserve">WWW TRF DDA - 1338 </t>
  </si>
  <si>
    <t>transfer to steve, already counted above</t>
  </si>
  <si>
    <t>9f22b985ec7c02c35a2782e52b93c29195195126bf982bb62f6ac78b75aaccfc</t>
  </si>
  <si>
    <t xml:space="preserve">WWW TRF DDA - 1621 </t>
  </si>
  <si>
    <t>e78fbd6a77426c01678ede007bd16cac1877cfd2f81247113c316a804dddd4c4</t>
  </si>
  <si>
    <t xml:space="preserve">WWW TRF DDA - 2047 </t>
  </si>
  <si>
    <t>f6512c3e6663b7431711f4f4ac8b856c20a7f72714b45ef6f4449d1b4b8bda47</t>
  </si>
  <si>
    <t xml:space="preserve">WWW TRF DDA - 4766 </t>
  </si>
  <si>
    <t>7c22e14fc32131eab81cb9e70b37f4b24eb85d6ccc11d9181524cdac8d0dbc4d</t>
  </si>
  <si>
    <t>17311db8cf0ae2455769616e489aabf841755cf0f21a4742cfb2adcd2f19668d</t>
  </si>
  <si>
    <t xml:space="preserve">WWW TRF DDA - 4662 </t>
  </si>
  <si>
    <t>transfer from mel</t>
  </si>
  <si>
    <t>61b89102db80e7eebf55192221e25f04b12b3a2216f88727008f1ec8f1f6616d</t>
  </si>
  <si>
    <t>de85ddb4d639d76e770740dafa19d56980f7a6919c10d96d7d1d7b2299113dcb</t>
  </si>
  <si>
    <t>b30a3243db6ff304219259139c144428d3eb3f9426aba400e27880004595be94</t>
  </si>
  <si>
    <t>Payment WWW PAYMENT - 0023 NORTH BAY WAT</t>
  </si>
  <si>
    <t>a176ee32c2f8b1ec1454480b499fe44dee06e985f2f633bed9d937f69eac52bf</t>
  </si>
  <si>
    <t>81e949142b5737381133ccedf85c9043682d20a0e85a06435ac5c4a641f322bf</t>
  </si>
  <si>
    <t xml:space="preserve">COBS Bread NORTH BAY ON </t>
  </si>
  <si>
    <t>e4c64a687e03f460d15a8d70e1e768ddf56f6302cbdeec532986698927bfd840</t>
  </si>
  <si>
    <t xml:space="preserve">FAT LES KEMPTVILLE ON </t>
  </si>
  <si>
    <t>3d6904698e29cc5d863f96f411489f602e7db07463368050c84fbb5a33c63da5</t>
  </si>
  <si>
    <t>94a9460cb4db41b4d82f1f7558a553e4530b3b774423d3dfbca7a0a9ae7dd268</t>
  </si>
  <si>
    <t>c8c8b9146d4165d3c3313e500730fbd1fe7ccb4fbe3028c7c3d8d5b9382d3ddf</t>
  </si>
  <si>
    <t xml:space="preserve">AMZN Mktp CA*RY2TY4881 WWW.AMAZON.CAON </t>
  </si>
  <si>
    <t>7f3f6dd6ea08a6d9445f10ea5bc06d90e9ed50c5dd1b858075e31e410a3a1218</t>
  </si>
  <si>
    <t xml:space="preserve">KINGSWAY BUFFET SUDBURY ON </t>
  </si>
  <si>
    <t>99292885ee1159f3eeab9424a43946db49e1847145b6d96b1accd111c091bab4</t>
  </si>
  <si>
    <t>7929fd24b6e2c39bebd14ef6e7809817e7601fad7bbad3c4fbeffffbe6770321</t>
  </si>
  <si>
    <t xml:space="preserve">MAGNOTTA WINERY - SUDB SUDBURY ON </t>
  </si>
  <si>
    <t>ca84fc556573d60edebdbc21208f112a17b172ec05e51a34eadd2be7dfd17a3f</t>
  </si>
  <si>
    <t xml:space="preserve">MICHAELS #4912 NORTH BAY ON </t>
  </si>
  <si>
    <t>c1b603ae8a9271fae2f24fcdb05a6f1fb58e286a32b21ff16cfd3237809b6d21</t>
  </si>
  <si>
    <t>b265913d883a3387febc50fbbf73a3bcf4f65d39c20662cfb00fe85c5a9b0a09</t>
  </si>
  <si>
    <t xml:space="preserve">NOFRILLS JEFF &amp; TANIS NORTH BAY ON </t>
  </si>
  <si>
    <t>dfbe6f7a01c7cb1c29d96b4e8b99df1ba0ee435c1e2a2b19bcc0bc3eefed1517</t>
  </si>
  <si>
    <t xml:space="preserve">POPEYES #13996 NORTH BAY ON </t>
  </si>
  <si>
    <t>afc255155c189aa20ca0e081a07192e17871e71957ee7dc1634fe42949934536</t>
  </si>
  <si>
    <t>e69a0043fb067976afcaa1ddea0a29dbc8ed678f0bcf092725755c72786a1d91</t>
  </si>
  <si>
    <t xml:space="preserve">WWW TRF DDA - 0904 </t>
  </si>
  <si>
    <t>etransfer to mel</t>
  </si>
  <si>
    <t>903b9560c9199ac53ef3a22f6473b45b2029ac639db5e177848b7d42d0ff09c7</t>
  </si>
  <si>
    <t>fae87ea6a437a1806e4f98b52895d3058434106743866c899c9a5b33c0868959</t>
  </si>
  <si>
    <t>aebbfb334afa3abe78868d3d2ef4fe4baddb1b68a4652fba2635f0e32e917910</t>
  </si>
  <si>
    <t>f1ad653b09d43e954d7fedf9deaae5191d254eb55a30825c017a480ecffc6bc5</t>
  </si>
  <si>
    <t>60cb49cde09d4ba3a527ccf686ce98964209b77a8ab2d84430f6c198a25d0b0e</t>
  </si>
  <si>
    <t>cbdf48ece20488b253f9027cf77f801245524389b049cdcbfe400e66f2d9e082</t>
  </si>
  <si>
    <t>cfc791738d7f39c014b6d2391bf6ff688e7d2d83edd7826eac835bb760c4d655</t>
  </si>
  <si>
    <t>ecca2b6a5658227e514014f04db631742596371937ce5d60cc3338afeb0a84ee</t>
  </si>
  <si>
    <t>aef845f10456f82ce4932219b6394a0d180eee9cff24b174db74c238757543b6</t>
  </si>
  <si>
    <t>33e39466d222b637202897fb91caf925d5765b2032cf7a1da435bf78fdecf291</t>
  </si>
  <si>
    <t>3e9e9b4383b4fc6195a8b13746431ffed4c0ad773669214d031731428a42baa4</t>
  </si>
  <si>
    <t>4178ffbb75edac99c11dc8fc4814c30a276d4e55a3d428ab8fe2a0b8cc486fbd</t>
  </si>
  <si>
    <t xml:space="preserve">Amazon.ca*RS3FN1YT0 AMAZON.CA ON </t>
  </si>
  <si>
    <t>480ec9e31cfbc2b49278aa435c54d6322d6e2efbc7ccf0abd4345f199670ef22</t>
  </si>
  <si>
    <t>04ff9985b3f82b0971fa98502f53167e60e8427148bf536a054f84a8703240c6</t>
  </si>
  <si>
    <t>85d5b29dfa536ffe28d66fb4330354e99bf0cefbcc1eb3b64987c6e0e163c9f9</t>
  </si>
  <si>
    <t xml:space="preserve">NORTHFIELD BLOCK AND GRAVNORTH BAY ON </t>
  </si>
  <si>
    <t>3ae9e0cc32783e325879d0906ccc8b65884abf78f5600b68829af0786dcb6ca3</t>
  </si>
  <si>
    <t>fe4daa8224bd12eace2be4209f761858732ba41ae18a1d7f3d18eab30fe8de8a</t>
  </si>
  <si>
    <t>189532d7af6c940f1ec5ab3c590f1aca08e969a5a087293dd6a3e60e0a3be9f4</t>
  </si>
  <si>
    <t>9cfa897bc0a2a95c5d8cd8a278c602344a49f6234d62b399fab83b6d76755b4e</t>
  </si>
  <si>
    <t xml:space="preserve">METRO 399 NORTH BAY ON </t>
  </si>
  <si>
    <t>bdcde5cf1eb11ec359fb17e87d8fea7ad535c7fc9f61f6e32262e46c46350805</t>
  </si>
  <si>
    <t xml:space="preserve">AMZN Mktp CA*RJ74T2AF0 WWW.AMAZON.CAON </t>
  </si>
  <si>
    <t>57a6703795360ba03fc74a50408c8f58bab784ddb4320617970abc854ec1a020</t>
  </si>
  <si>
    <t xml:space="preserve">00026 MACS CONV. STORES NORTH BAY ON </t>
  </si>
  <si>
    <t>a4e2470bd4bd4074f21884f28ae654e82b68179061c9098359efc5357ecd1671</t>
  </si>
  <si>
    <t>c2106bbd2e2951adfe2ca1f846e599b2db63435cdb6094dad08bb2990307cc55</t>
  </si>
  <si>
    <t>c286ce3bbb8c9c5d1134b1ee5d58706a239d215689142b3d18e14ccbec5d9094</t>
  </si>
  <si>
    <t>663b8b097ce3b578f26db5d9bfa0f31597ae4a5df80afe611a691c1e56777179</t>
  </si>
  <si>
    <t>54ca7ea5293635bc8604df9c9bbfb26e118f6ace408e03b86305d64debf3c953</t>
  </si>
  <si>
    <t>a259ca3cb2f0cc9887c5dfc940462652adb0cfc886bbac0ef1334a33c9139089</t>
  </si>
  <si>
    <t>02917a01835ecc55c8b8517118fb3139257d6e9b451aaac024d33ff214a6e8c3</t>
  </si>
  <si>
    <t xml:space="preserve">GANGNAM KOREA- NORTH BAY NORTH BAY ON </t>
  </si>
  <si>
    <t>3de0a78bf8ce87edbb5363959a46ace741af548a135345b3e91ae5cb9901c804</t>
  </si>
  <si>
    <t xml:space="preserve">JUICE ON THE LOOSE NORTH BAY ON </t>
  </si>
  <si>
    <t>2e20b1146593541e181610d13477e9bf0d1ef4bb64b1d3cc27a0bcefa2468298</t>
  </si>
  <si>
    <t>21e0a526f476e2fa9cb85a23cb2c906320b9bb769ad7fcaf19e4012c4be1cdfd</t>
  </si>
  <si>
    <t>813bd087768d0c52c4292f3c7b2cddba4722e63e55db1a8f606f71a6b987662b</t>
  </si>
  <si>
    <t xml:space="preserve">LCBO/RAO #7777 TORONTO ON </t>
  </si>
  <si>
    <t>54779371a4fafb55065cb9a3c696420eb8436d7566960a6eb9a2bc29421d27f9</t>
  </si>
  <si>
    <t>ea7fdabb73ad5d5f79a35e4e79682d4702c41dac45e54b77231467ee29c5db76</t>
  </si>
  <si>
    <t>0b2389a15d012977b3ef75ea8533601027d9c43fccbd58d6ef3b71af1f8d31f2</t>
  </si>
  <si>
    <t>c196a45ea1fc2b928807dcb10496b76f2b539a724244cb7e69fe826869eb76be</t>
  </si>
  <si>
    <t xml:space="preserve">SQ *EVER COOL ICE CREAM North Bay ON </t>
  </si>
  <si>
    <t>3bdf90a941057741cd2facf5619f5e6e2be5f1a28d024e97081e2a14e959136e</t>
  </si>
  <si>
    <t>37b81183bebb276036abc6c870f5dbb4efeec43b5a21560681a1517b2a5060af</t>
  </si>
  <si>
    <t>68655aea44806eb21108de2c706c8d368c57a07e42f9ec3481c74a6b76933958</t>
  </si>
  <si>
    <t>4d50851c22893d7c5b8731adfb895ebc9add9b65a50c115065519ad19c490f87</t>
  </si>
  <si>
    <t xml:space="preserve">ARUGULA NORTH BAY ON </t>
  </si>
  <si>
    <t>76a763a2ae8df9b343ca896fab200047f3fed609b3bb03a394822bfe6a708234</t>
  </si>
  <si>
    <t>5e2b7e6da3d73fb7f4fe31d887a64f4ea729e4c2003d7d8424d6be07878151ea</t>
  </si>
  <si>
    <t xml:space="preserve">Amazon.ca Prime Member amazon.ca/priBC </t>
  </si>
  <si>
    <t>a264548086ff0ada3dd1cb340d22c33dc72fac92bba4d96bb5e08d10b5267e99</t>
  </si>
  <si>
    <t>5194d52ab1c4a12b9c16dc90b41a7c8ddc12a8c2822ae44c361d8425e589d82e</t>
  </si>
  <si>
    <t>c805faa4f922eaae2dab40330b258b7b020cff0eddda89a78909455e309a94e3</t>
  </si>
  <si>
    <t>cd2de27a40fd5c622251890d573bcf1d1b1e03fb0840f36e0c6c7b42bc8f6f9e</t>
  </si>
  <si>
    <t>balance</t>
  </si>
  <si>
    <t xml:space="preserve"> </t>
  </si>
  <si>
    <t>Accrual for Gravel transfer</t>
  </si>
  <si>
    <t>35929b08cf9bf483266b062be92bb76bfb41819ab77f87d7a97eb54189505f01</t>
  </si>
  <si>
    <t>b249958a50563e210cf1a53b706c9f7e20bb7c2a70ba6422270db53e8545587a</t>
  </si>
  <si>
    <t>635217b1c63c25cfceb563dc4f553ae3fdc4e7ec858f9b7f1cfc2cbb10a30121</t>
  </si>
  <si>
    <t>cce17954f69892ec307d85946f3a07aee70b3b0cc2f52955b17457cb35ebc657</t>
  </si>
  <si>
    <t xml:space="preserve">Transfer WWW TRANSFER - 3223 </t>
  </si>
  <si>
    <t>a942a1093995dd9eafa5dbb9aa1b4cbd2895d63c9d8505b46412f60940c0d1e6</t>
  </si>
  <si>
    <t xml:space="preserve">Transfer WWW TRANSFER - 6663 </t>
  </si>
  <si>
    <t>900d6143444af3505dbae9ed960131908bf827848c108dd6ab4f12f47f322a92</t>
  </si>
  <si>
    <t xml:space="preserve">Transfer WWW TRANSFER - 7252 </t>
  </si>
  <si>
    <t>8c386111ee646a2c56e490c31d40c952391c32c8b570af676029df1d0fe7e82a</t>
  </si>
  <si>
    <t xml:space="preserve">WWW TRF DDA - 3223 </t>
  </si>
  <si>
    <t>2c973e5f20968e007c409d6fc2cef48047b8a5dfcd133b3b1d922ac467bc9f9a</t>
  </si>
  <si>
    <t xml:space="preserve">WWW TRF DDA - 6663 </t>
  </si>
  <si>
    <t>63427961310cd3f8baac627fdda182be6f06e2e41f6ec5283a08441ec5965881</t>
  </si>
  <si>
    <t xml:space="preserve">WWW TRF DDA - 7252 </t>
  </si>
  <si>
    <t>ea1e5745b5c67564f209255749a449e1ba739c4c5590ed0c1dfacd1cb86c2035</t>
  </si>
  <si>
    <t xml:space="preserve">Loan Pmt WWW LOAN PMT - 6661 </t>
  </si>
  <si>
    <t>fb5601e8e7f683532960d0273525cddea986f323996c0fd0bba178708ee5d9ef</t>
  </si>
  <si>
    <t xml:space="preserve">WWW TRF DDA - 3338 </t>
  </si>
  <si>
    <t>8014d6e3b1f92ff953d2355e6a372ff6a88fba1c12d0d34ed17c3f849be51302</t>
  </si>
  <si>
    <t xml:space="preserve">WWW TRF DDA - 6662 </t>
  </si>
  <si>
    <t>8f490c79c04bdcc6870a46d3753abaa4f865a0ba074a0560b599d1defdebd287</t>
  </si>
  <si>
    <t>a58e8e06efa2b1100467fa3237aeb2a54aa06694b8bc107e9fb24991608aa70e</t>
  </si>
  <si>
    <t xml:space="preserve">STOP 63 REDBRIDGE ON </t>
  </si>
  <si>
    <t>1ed7963f04328b0bcbc3a21e5d564da357eebf60c47d6a632c054ccb9fc97ed2</t>
  </si>
  <si>
    <t xml:space="preserve">SYL'S NEIGHBOURHOOD KI NORTH BAY ON </t>
  </si>
  <si>
    <t>429ffe8e067366653b4a0f3180953b9215de8157309ec24a26cd8ac06cfef6c7</t>
  </si>
  <si>
    <t>8dae31d1e5fe7b0975a9d7b3ccf931dc4656b8eb838dc5ec77ea61009f3d43a7</t>
  </si>
  <si>
    <t>71e2cb0eb5b12f251f493ac4634ab13c78579e635f1141aa8160fa470dfe58d8</t>
  </si>
  <si>
    <t>87871cce9bac8da4e070cc3e974b337a9cdb7187afb03d66bf0b07ccb76b6475</t>
  </si>
  <si>
    <t xml:space="preserve">MATTAWA FRESHMART MATTAWA ON </t>
  </si>
  <si>
    <t>a814c08b85557f71eb71683970d2a5766b990a91c6fe2af3fcd39e8c7ed46e86</t>
  </si>
  <si>
    <t>39e0731cc914ebe539faa2cf60466a3e3e49b96852ec22d011f0c0047679d756</t>
  </si>
  <si>
    <t>82f13b10a0aaf97b60ea9e1da66a7afa3c0cf653198ae567498d78db10ddc7aa</t>
  </si>
  <si>
    <t>0381f3702cd244c7504f90333b8f96380aeae82a738d20b390560f975c809f81</t>
  </si>
  <si>
    <t>65e7c09b354b5ecf6fa670364d9e99bbc7fa5698625bce854d45a1cbec54de24</t>
  </si>
  <si>
    <t>4741e0170e6f9b642c1711112cd4343c92a096e0d75441d966cf87d144e4a5b5</t>
  </si>
  <si>
    <t>2ccb8daccef9fc20d701624d6b45edf68510d3c0cfef0df2f868495fba1ee3b8</t>
  </si>
  <si>
    <t>7f309846206403414ab42665e8023c4d4e56583ffd50a2a91c4e262c43ce47a5</t>
  </si>
  <si>
    <t>24c73d4636a49e4721cbc296dd65e0c6ec22b73eda0b87595a3cd5979ceefa07</t>
  </si>
  <si>
    <t>be16945a022510d04f78f5e8789bb04b294b0c1cfc7ad82e6558fb36b9d0fd8e</t>
  </si>
  <si>
    <t>9981f82c5143120c53aa0acbde16125440f355595ae84c77f788effb15933779</t>
  </si>
  <si>
    <t>fb3a1ed14d01701888b0cc5a6be093b1aea026700a06dafbe6ce932f2a1ff45c</t>
  </si>
  <si>
    <t>485fc6cac7c0747e28e89ffe53175d3afaf560ac6d1a2909e094eceee00173ef</t>
  </si>
  <si>
    <t>Split from shopping</t>
  </si>
  <si>
    <t>920bc2c2e637e782676fa4ca3def3568b30ad3cb538cc3c9c39a3e5d620aa391</t>
  </si>
  <si>
    <t xml:space="preserve">SQ *GOOD GLAZE DOUGHNUTS North Bay ON </t>
  </si>
  <si>
    <t>da27aac3e2f60caff1e09cc1337f4bb17a63129440666bf552bcc001c174aa45</t>
  </si>
  <si>
    <t xml:space="preserve">SP VODKOW ALMONTE ON </t>
  </si>
  <si>
    <t>9c8a4751e5d914a5c18cf738b5d973f62f447480693e4ac0d601f63ac228e70f</t>
  </si>
  <si>
    <t>956f5b2dcdbada1163b0d76d90bf96970f9671eddc5174cc5bf01ac96b4a49cf</t>
  </si>
  <si>
    <t>c679e20fde284552797df5740e89ed8b29d3e202612cea86c3dc5dae3328fe9c</t>
  </si>
  <si>
    <t xml:space="preserve">JT SUSHI NORTH BAY ON </t>
  </si>
  <si>
    <t>749542a4566a7d59c113934e7c82139a33aa0757483b0b3c5334a38102a9f1e8</t>
  </si>
  <si>
    <t xml:space="preserve">COSTLO LIQUIDATORS NORTH BAY ON </t>
  </si>
  <si>
    <t>dc0e6aeed21ae8306376c61a549d3fd513736a8433fe52b296ab7407163139eb</t>
  </si>
  <si>
    <t>Plumbing</t>
  </si>
  <si>
    <t>530189a5eb0f3d025ac6eff4cbc87dc04e9ac7e3050cef7180b0713aca998d6b</t>
  </si>
  <si>
    <t>32fa3d5c25a98fd88186ea313fde914239268e69f41a5dc1a7a288d5c209a9d5</t>
  </si>
  <si>
    <t>Payment WWW PAYMENT - 7952 NORTH BAY WAT</t>
  </si>
  <si>
    <t>828d317eeb9046d375750f4afd14bbee584b5c00829d0e3c0119cdb9ed917e26</t>
  </si>
  <si>
    <t>021db1566817980d837b9b9cac76455ed8c1abe3ac557a10100593654b305675</t>
  </si>
  <si>
    <t xml:space="preserve">GIANT TIGER #195 NORTH BAY ON </t>
  </si>
  <si>
    <t>d2a2a0833758e55264d5fdd0c149ef836839de1ed2c5af8839f7bcf3c5fc7a24</t>
  </si>
  <si>
    <t>ac3848b1ee8cb5cac73cbc9618fcb63100b964b64a821d3677b4e28adb7831a2</t>
  </si>
  <si>
    <t xml:space="preserve">AMZN Mktp CA*RU3B24P72 WWW.AMAZON.CAON </t>
  </si>
  <si>
    <t>a7272abc7f265020b764d6041083b5e78cd63971aec7f1b7be25d30ad3e42ccd</t>
  </si>
  <si>
    <t>51401f954a247ff81e99499313b3c8b1b65fb30a46547c776525b2fdfa9f8f3a</t>
  </si>
  <si>
    <t>832c75c08a8bce2ae97bbb030adffb665ae765f91b5263e784a79accd201d20e</t>
  </si>
  <si>
    <t>423bcb5efe80a9b741b23dce0fd12d0f95cccf2097c5bcfe50bd2c88011ad7dc</t>
  </si>
  <si>
    <t xml:space="preserve">BULK BARN # 510 NORTH BAYNORTH BAY ON </t>
  </si>
  <si>
    <t>b00f0d389a0a5469d380568f03ef5b16145864515ad0961bae3465c80ba9e8b4</t>
  </si>
  <si>
    <t>52a2143498514abfe805a065ab90cc82f98f30289bf0cacf7f98317aae8453e4</t>
  </si>
  <si>
    <t>7f05c39d1edc3cedc041b458f1132fa0c209aa8ff2c5a531394d032a48a32038</t>
  </si>
  <si>
    <t>m</t>
  </si>
  <si>
    <t>abb095c0bcd351c569a5eaba02bc118a6f714bf0086527b74c32d9933a6ba91f</t>
  </si>
  <si>
    <t xml:space="preserve">MCDONALD#S #12016 NORTH BAY ON </t>
  </si>
  <si>
    <t>fa15b788ae5649fd896981481271e35383cada51eeebe55cb6dc1e5eddcde9ff</t>
  </si>
  <si>
    <t>cc694c1c4589c617adfc55b67fd95871227802e7b39950d8f1c6b8e6a291b278</t>
  </si>
  <si>
    <t>ea59411733955871d14a6b6707f3decbfa1446da13014982f01df6ffe2e00020</t>
  </si>
  <si>
    <t>a00caac49741cdb5548ffdb609c732f302cc4cfd7e1b45250feb830b4afeb726</t>
  </si>
  <si>
    <t>6c6d00f8d9b2f79022b603c9fb64b91965e13e11a72d6b1b4114662c4ac58348</t>
  </si>
  <si>
    <t>fd7a823161bbdab10efa9b4e740fcfff129d434d29544460f730a44bdba31d0d</t>
  </si>
  <si>
    <t>e6f416432914ceda4133fd673ac2d3064118e6a02f0df70198f9eb902685c60a</t>
  </si>
  <si>
    <t xml:space="preserve">AMZN Mktp CA*R47QB48A2 WWW.AMAZON.CAON </t>
  </si>
  <si>
    <t>d9d153d87114efd5b3eaefa4478b9fadff752272e4bb39c27549346416c1dfa7</t>
  </si>
  <si>
    <t>a2d5b50464ee18b9398887945533e53c7bf017f4eaab372ffc8d6b6b1cbf443b</t>
  </si>
  <si>
    <t xml:space="preserve">AMZN Mktp CA*R44TX1LK0 WWW.AMAZON.CAON </t>
  </si>
  <si>
    <t>f4da2cb267cfab9d95f73ad8830da10d8d5bfbf6bd7ca2c4c72e6309f7fbde0e</t>
  </si>
  <si>
    <t>787b9df95c28b6a737627afd4d8068ad6e6bdac6c41cdfc483d8bbab73f787a6</t>
  </si>
  <si>
    <t>c96d446ad76ff0bb6df944ea402faf1ed5c18e71ee2c8dc3adfd80a5ca6f678f</t>
  </si>
  <si>
    <t xml:space="preserve">LCBO/RAO #0054 NORTH BAY ON </t>
  </si>
  <si>
    <t>4692985594f350aea499cb3ae278fec9b32793bd4edd9e88aa7fb7287984d16a</t>
  </si>
  <si>
    <t>b09bb15cea35ebd95652e584662fcf3d4a1173e4dc9b89149a87439ad445ecc5</t>
  </si>
  <si>
    <t>0b07206831fd791cd7ec1461ac3b740153a52c0b5e5a4b80da2cbe8c561b0445</t>
  </si>
  <si>
    <t xml:space="preserve">SERVICE FEE 4EPMT/WD/TFR@$1.25 </t>
  </si>
  <si>
    <t>6131e2d2ffb0bb70a359e506eedc545679fbab38d3556a68ae9ad1dd31962e2c</t>
  </si>
  <si>
    <t>8f38d0eda9f0a38c05c6060a85850e879efbd315457633703e87d3c0caf7a79a</t>
  </si>
  <si>
    <t>etransfer from mel</t>
  </si>
  <si>
    <t>f5ebe9d2283a9b7f7ce640e845419e215ed2453dcb40a0c792a8144fb391a9e0</t>
  </si>
  <si>
    <t xml:space="preserve">LOT 88 STEAKHOUSE &amp; BAR NORTH BAY ON </t>
  </si>
  <si>
    <t>46928d4ba1a9983827d85e64a644d4ee7e5bb4491743cc96004d7c5287d028b0</t>
  </si>
  <si>
    <t xml:space="preserve">AMZN Mktp CA*RK5EK9A12 WWW.AMAZON.CAON </t>
  </si>
  <si>
    <t>4dc5a15a9b7d7486764e2313c224665c2f1e94ff2b570261660f12a62dc861af</t>
  </si>
  <si>
    <t>9ea5c8649fb14fa5c23065130492189743d5c566b7949b45c72a2f04501d8946</t>
  </si>
  <si>
    <t>52e332c15164d673302c7c0dd6f949858be6055b89a8f84a5862e319d7999ad0</t>
  </si>
  <si>
    <t>0786086e5ceba4cda2b9e5e55800b09b2203bed23e6689883f82bd813741f3c7</t>
  </si>
  <si>
    <t xml:space="preserve">WOLVES DEN GAS BAR NORTH BAY ON </t>
  </si>
  <si>
    <t>abbb2a7fbb873d6b7a976c5437f89188d7fd0f35698a65deec55e90d96f2304a</t>
  </si>
  <si>
    <t xml:space="preserve">CANNABIS 228 RENFREW ON </t>
  </si>
  <si>
    <t>1c3699ac2a4a063d7391e4b7a1ff008e1589aa5320a1b4d6cf80ad6893976d17</t>
  </si>
  <si>
    <t>8e25a4ae804894b7f48f6d68ad3268ffa0361116fe56f53a981e539bda8d3956</t>
  </si>
  <si>
    <t>14fa041b419e5592065626bd13d61c27d4fa0f47bf81349c26aefdee06e4ab66</t>
  </si>
  <si>
    <t xml:space="preserve">TIM HORTONS #1071 RENFREW ON </t>
  </si>
  <si>
    <t>5dfe9ac8c85a5bce7581675aad8fc73026e44cc51d8497149683aa0a746c1c85</t>
  </si>
  <si>
    <t xml:space="preserve">WENDYS 6418 RENFREW ON </t>
  </si>
  <si>
    <t>a0da0fa2e90c0f8435329f3fcb5a21ac5f9257d313f6f5bbd0232503e2a925d3</t>
  </si>
  <si>
    <t xml:space="preserve">1000642064 ONTARIO INC. RENFREW ON </t>
  </si>
  <si>
    <t>23ef4b552fdd491e1a18263851fd4813be78e972d2a5b4862fddafd4f616c552</t>
  </si>
  <si>
    <t>0b6f01fd91f74b4d54c3d47306296ccf9f2f6ead66249a2d31c6caa4cdb05925</t>
  </si>
  <si>
    <t xml:space="preserve">LA VIE EN ROSE #103 NORTH BAY ON </t>
  </si>
  <si>
    <t>c0ef78064163653bcfac773ea100d26aed073926177c04519ee85befc05d0e74</t>
  </si>
  <si>
    <t xml:space="preserve">Amazon.ca*ZT1R56LV2 AMAZON.CA ON </t>
  </si>
  <si>
    <t>fb6dfecfda1c57cb862655d0ef45848557088e88bc00c62ea29841123e581ac2</t>
  </si>
  <si>
    <t xml:space="preserve">OTTAWA INTERNATIONAL AIRPOTTAWA ON </t>
  </si>
  <si>
    <t>ea12a729f1f6ad4dcf3b54ef88b9d93f323aee79d41ffb26cdfab8467ef8a471</t>
  </si>
  <si>
    <t>bfccd5a2f2234e45fe4c0ced7cb051fde1f0c27fe06b5b2f8daad26af14e61b4</t>
  </si>
  <si>
    <t>d264c1040d39f88286814894849f03d60399bfd43e97e7b43411c24ec8190fd3</t>
  </si>
  <si>
    <t xml:space="preserve">TIM HORTONS #1222 ARNPRIOR ON </t>
  </si>
  <si>
    <t>d575a41ff5a4bf5774a58b3dad25621fe79f43ccd75a3087df064376619a7120</t>
  </si>
  <si>
    <t>16f943bb71f3a29cbbfce44afcb851333e2b5d93c060de175b1efc013928db9f</t>
  </si>
  <si>
    <t>40b23dcc13fa8123e49f36048fb7dea1ba39046d63db581017313132707d3b52</t>
  </si>
  <si>
    <t>cd2e27def0b968fcd179e235048402ca0fc3539ce02838c98c2d1418f02867e7</t>
  </si>
  <si>
    <t xml:space="preserve">Transfer WWW TRANSFER - 7650 </t>
  </si>
  <si>
    <t>fbdc5ef11587dac376062858bd615ed78c5b2aa5628c9a97864f76778e71fd01</t>
  </si>
  <si>
    <t xml:space="preserve">WWW TRF DDA - 7650 </t>
  </si>
  <si>
    <t>7598c6297f444c2edc57e47de2775ddce27dcd68a7870b42b29b7a0cd3f719d7</t>
  </si>
  <si>
    <t>fb93c178039cbf7dde8d4496b05cd0a8ecd7d0aaf861747e831db49298baa6a3</t>
  </si>
  <si>
    <t>53f5bfc82965ac94c83278c24725e7537e80bfca7f30b8720092d62f74581244</t>
  </si>
  <si>
    <t xml:space="preserve">WWW TRF DDA - 5450 </t>
  </si>
  <si>
    <t>f41fc61142bbe28968e6aaa7266d15a9e55bf71dd29afe5cc6ee5a3a3c8265cd</t>
  </si>
  <si>
    <t xml:space="preserve">WWW TRF DDA - 7649 </t>
  </si>
  <si>
    <t>23ce09e2257027fec23be2d089d106900df55ffafd386d51bad2264f16356053</t>
  </si>
  <si>
    <t xml:space="preserve">AMZN Mktp CA*ZT5472T31 WWW.AMAZON.CAON </t>
  </si>
  <si>
    <t>balance to phone bill</t>
  </si>
  <si>
    <t>28602db1b6d163813bf41a8ebc7eedb640d9252fa95857f06f7846f81ae2cc20</t>
  </si>
  <si>
    <t xml:space="preserve">Transfer WWW TRANSFER - 8928 </t>
  </si>
  <si>
    <t>6bda659224e8e0744c440973658446444e4cf3cd350c1f546ff18dccca094ba0</t>
  </si>
  <si>
    <t xml:space="preserve">WWW TRF DDA - 8928 </t>
  </si>
  <si>
    <t>1e2508c77e38fc32949cc704e521abc65946bc7568972e1c0583cede05932046</t>
  </si>
  <si>
    <t>a77bf934d2624632960daefb802c9dda8cfcefe79c75041ae88d3c06f0f6a06d</t>
  </si>
  <si>
    <t>b09a661d59a57efd022cb584806c113894c5e3cfc4eec62a67070a0e4d621ebe</t>
  </si>
  <si>
    <t>47167e011701abb4c3b1cac2ed2b7317969430207160419898f434f3234e8bcf</t>
  </si>
  <si>
    <t>99ee202dde08a15b98d26c1552d59239989af54909fdf3f93efb812a838ff820</t>
  </si>
  <si>
    <t>bd49eb0acb1be9f82c7d3186810e6b365e2fb1a0421e3b6c404a025bfb821b6c</t>
  </si>
  <si>
    <t>1a501799192ba65560b55da62a212b905c003f7ae69342641a605c42413d6e9c</t>
  </si>
  <si>
    <t>815b3f84ff87cc4fdc9f63b3ede4878152e309c8fa32c81737c88098b6bfaa8c</t>
  </si>
  <si>
    <t>1a65c36d116b7c067e191e0d8f6ca873c714b76371dd1e81baa3470ff81e67fb</t>
  </si>
  <si>
    <t>01b9dac8b9013fa62f1663b291cff4a7bdbd108832635494822581f22ede3654</t>
  </si>
  <si>
    <t>188ef2a4fbedd9305fd687bee59598c035d0229223d77c6cd979641f5df5a533</t>
  </si>
  <si>
    <t>a18e006b44d579782bc2fc3e619560ce86969181fb28a74c4341d3f76f9e331a</t>
  </si>
  <si>
    <t>Payment WWW PAYMENT - 7613 NORTH BAY WAT</t>
  </si>
  <si>
    <t>ab8c0b40c76dc43dc4629bd27d9005fc6a3e6d9e6b7764acb61351c38a6939ea</t>
  </si>
  <si>
    <t xml:space="preserve">TRITON NORTH YORK ON </t>
  </si>
  <si>
    <t>a625f1323fce80ad41b4f23f2ebc412e2dc44c930457a101027c8156447e6464</t>
  </si>
  <si>
    <t>cac7fba429d56d05babed6481546a6fc0765bec40a636d72fc5ab8169173976e</t>
  </si>
  <si>
    <t>b3ba999f5447c072a55c63075be177f5f844e10581ec7df402909525982e6b49</t>
  </si>
  <si>
    <t>73d52258c1dfd433ae06625a1e95d9676d92327f20c069cfbb6a850daf148f3f</t>
  </si>
  <si>
    <t>dc0962d31fa09a417358f192a80e08a7bcee026d4ac398c1f04300f69819ac89</t>
  </si>
  <si>
    <t>555bc0df08e16fae213ec22569dc97dd188b5e0367a627b2b38f2102eac3e8c6</t>
  </si>
  <si>
    <t xml:space="preserve">M.I.C. CANADIAN EATERY SUDBURY ON </t>
  </si>
  <si>
    <t>42d56dfd4f94a165b6672f5c37d5790b6c77fa99542aef205b7d21c4de1e62fd</t>
  </si>
  <si>
    <t xml:space="preserve">TIP TOP TAILORS #12059 SUDBURY ON </t>
  </si>
  <si>
    <t>ea4fa418e61042505862615d9a767f06ca10d9ff226545d0a278cd9318720d07</t>
  </si>
  <si>
    <t xml:space="preserve">LCBO/RAO #652 SUDBURY ON </t>
  </si>
  <si>
    <t>bdacc9454d7122cf17f7cbb150a226bedbcd8268b3f933b4d5454d26e2168ed3</t>
  </si>
  <si>
    <t>balance - transfer to weekend trips</t>
  </si>
  <si>
    <t>e3abc5dfaeceffb30fdcbf096f94d16ffa0c0df490c3b86042f2330c28b5859e</t>
  </si>
  <si>
    <t>5431352decbb10ccb8762d7206533e8d4ebe1bbf7a10a11e0552523359fb4741</t>
  </si>
  <si>
    <t>7917a2e4aaf99b5be17ff2260a8e6f1da52464c45f558c2870d61b6678613cf2</t>
  </si>
  <si>
    <t>856b6ca615ad75bfd549bda17da377aed7197920c6ed24ab4dde2b9bb3f31578</t>
  </si>
  <si>
    <t xml:space="preserve">WWW TRF DDA - 7827 </t>
  </si>
  <si>
    <t>ba7f7f325f0e18d84b4d8c7ebacbf8393f7273aed8308d191235fbccb8226d30</t>
  </si>
  <si>
    <t>7d8b65e3464b57dd60db5862a2fa62afb4ca7bf78e847d7418d198e4c93aa7b2</t>
  </si>
  <si>
    <t>d84cd7d0cf1285699414cdc8c9732950734d5654cec831d94b0168ae8fac6d63</t>
  </si>
  <si>
    <t>ec07500a793a9de39490e9a1264e8de26370c192cd9141ad80bcd9fe98e05cc3</t>
  </si>
  <si>
    <t>42269e043d2e9506864b220569f50462203281dfec0a892be273194ffa45b03e</t>
  </si>
  <si>
    <t>4b7828bfb11e0a521e668a3801f81801ec7ad945211d92441aeabde3f1633713</t>
  </si>
  <si>
    <t>7a403d6f3062029cb542e70cac3b5487c7ee83c68f09bb65e7b1d85cfbc13de2</t>
  </si>
  <si>
    <t>9efc980ffcf76282379f3d91a0697549201d175429a9ff20523f3a0100f31393</t>
  </si>
  <si>
    <t>04e06576323322b9f5b0852fd785b0364172bc83461c0e7b2f5fd0108d909be7</t>
  </si>
  <si>
    <t>eaef6a48d37e47a6f281d0454bb30dfaed2871bd8718f0308b2dbae502192f16</t>
  </si>
  <si>
    <t>db0ffd4d75f3a50f64035134157f40cb5923d2690acf2e866d174d011b31ed3f</t>
  </si>
  <si>
    <t xml:space="preserve">KFC/TACO BELL #1416 KANATA ON </t>
  </si>
  <si>
    <t>8afe8b70a818841e1d37017389405d878ea3b4b7b1675bdb0c074df79971af4d</t>
  </si>
  <si>
    <t xml:space="preserve">TIM HORTONS #4035 MATTAWA ON </t>
  </si>
  <si>
    <t>80ce676102f13f36b74047b8982bb3bfa8200af24b1ae4603a798c6f11694bd3</t>
  </si>
  <si>
    <t xml:space="preserve">REUBEN'S DELI AND STEA MONTREAL QC </t>
  </si>
  <si>
    <t>26b05079af2fc3b64fe7ebd66ae2e744c13b2c6d12a37efadcdc2a79c87e81f8</t>
  </si>
  <si>
    <t xml:space="preserve">STM VENDOME DIN101 MONTREAL QC </t>
  </si>
  <si>
    <t>balance - transfer from rrsp</t>
  </si>
  <si>
    <t>1aefdf3ef18c2b6bfd7142f1d2d7bcd698d01fdb69e2356d8d36ef50f5834ba9</t>
  </si>
  <si>
    <t xml:space="preserve">LA CAVE A MANGER MONTREAL QC </t>
  </si>
  <si>
    <t>79e37147a64f030be2885218763a47d4597fb68b9e25a4bd7c2195a9e1173e68</t>
  </si>
  <si>
    <t xml:space="preserve">LES PETROLES BELISLE BROWNSBURG-CHQC </t>
  </si>
  <si>
    <t>c3a64fd06b7d724634bb15453dbecea029956cf99cee855bc700cf80f2adda25</t>
  </si>
  <si>
    <t>0a44efecd5f2f024927b47597e9aa62078ebde8079a379b77d2bbadbd5c15015</t>
  </si>
  <si>
    <t>61d506b7e1b3fb07c25366bf9c66fb762450359554bcef3b00694b137e8d60ef</t>
  </si>
  <si>
    <t>3a1a2449ac658ebd38e1700c977394eb2be42f259f08e509350d2d58cb70cd21</t>
  </si>
  <si>
    <t>a4aca631f453a27da2cd7da3e069b1f6c9cbcd1d03e74cc77419f522ba5b0da0</t>
  </si>
  <si>
    <t>8c80bb2f473bc8a571252100d2362e72f961f17afc86dff22d43e730f8e35201</t>
  </si>
  <si>
    <t>d8541db31ffc6687dc3bb94f48cfe44c10f1c960c11441e72608a0e6d2bd48fb</t>
  </si>
  <si>
    <t xml:space="preserve">SPIRIT HALLOWEEN C6851 NORTH BAY ON </t>
  </si>
  <si>
    <t>ec26ed17098e791432564af4e075a7f2476a11a6dce8df8fc1f36e2d51abe342</t>
  </si>
  <si>
    <t>d7de0b67dd209db200693b20193da68995280f8395f8d69c25a76c4c973d726e</t>
  </si>
  <si>
    <t>73a79baeaf3f09e59efa8621e6de48fc284c0e1df640df4871194600b6933bb8</t>
  </si>
  <si>
    <t xml:space="preserve">Wanup General Store SUDBURY ON </t>
  </si>
  <si>
    <t>6144344a0709b5b523d3455e14d29641dcdcaa7d2fac7350276c5dc1c7b13789</t>
  </si>
  <si>
    <t>787c702b4faf83dfd3c16825328f8acf1f27928f24f535ab016822c23e5ad8c0</t>
  </si>
  <si>
    <t xml:space="preserve">HAPPY LIFE - NORTH BAY NORTH BAY ON </t>
  </si>
  <si>
    <t>c446a8da22f042a7937247241b5c7a765a309ccacbf394c64ee4f3a334ce5e88</t>
  </si>
  <si>
    <t>a2e3f578fafcf2e6338def4c06f49e2300ed5b1e0b3baf106250348e59793331</t>
  </si>
  <si>
    <t>da27352f223b184568caa6a597408a01e3966b90308687edfe98bfb401ffb2fe</t>
  </si>
  <si>
    <t>577e4d37f2680e678ce9e48f09f5623e526d03e38ca806bfb39f2fc1f0f50713</t>
  </si>
  <si>
    <t>32de1692546f8ffc1876e647dc25a9fa2f6cd0aa7f072efdb3a200dc6a274ce6</t>
  </si>
  <si>
    <t>f27e5cfe1fd292c7add3734636b3e85e3367df519608e9f09361a7e49898fcc7</t>
  </si>
  <si>
    <t>45164d63947acb8e04ed1e5984dc0f62d4c53dae02ec34a783f0514d76ce56f8</t>
  </si>
  <si>
    <t>d8797810a3a07d18934cdcb0b909f294837534d20e7a84b90609a1ee29f1e712</t>
  </si>
  <si>
    <t xml:space="preserve">WWW TRF DDA - 2598 </t>
  </si>
  <si>
    <t>718c38440be116396d3366e60070a7e13524a1640b0719155ebc4f35587ce3f1</t>
  </si>
  <si>
    <t>4dc1af654441a918b8446e9fd70170086df0fb7d70f7e068a90d2178650cd523</t>
  </si>
  <si>
    <t xml:space="preserve">Transfer WWW TRANSFER - 2598 </t>
  </si>
  <si>
    <t>886cc0fb35e6e14798b83cd400c4af4f0b547188aa23b8c4089ab7bbe858afe7</t>
  </si>
  <si>
    <t xml:space="preserve">WWW TRF DDA - 0143 </t>
  </si>
  <si>
    <t>32161c3c6c776b1cb84b3da3b0db976b4d1d4c410337a8c50eda61a432548a90</t>
  </si>
  <si>
    <t xml:space="preserve">WWW TRF DDA - 2597 </t>
  </si>
  <si>
    <t>e10cef8e4f79eef3a1678bfa5bd67b3b645a1c62bd6276e8094ce96a4bd213df</t>
  </si>
  <si>
    <t xml:space="preserve">MECP-ONTPARK-INT-RESERVE ORILLIA ON </t>
  </si>
  <si>
    <t>balance - transfer from clothes</t>
  </si>
  <si>
    <t>e8a37f109f9dc6ad3b01b137be0ebac25b8e9684df8704770ca77b8ed70fbc52</t>
  </si>
  <si>
    <t xml:space="preserve">AMZN Mktp CA*LJ2J96A63 WWW.AMAZON.CAON </t>
  </si>
  <si>
    <t>71f2a3cf7edd3b739529e51f498ed584b04eb21c33667b78f1da00c8b062cef8</t>
  </si>
  <si>
    <t xml:space="preserve">AMZN Mktp CA*LX5IR7OC3 WWW.AMAZON.CAON </t>
  </si>
  <si>
    <t>balance - transfer to car fuel</t>
  </si>
  <si>
    <t>balance - transfer to bar nights</t>
  </si>
  <si>
    <t>balance - transfer from sewer/water</t>
  </si>
  <si>
    <t>9b89cbff02f0fe539aa183d6fead23fa8e1bccc6e3e33d61ec669abd442afd25</t>
  </si>
  <si>
    <t>97ca4b8f3a2d014b370a41e30678aa380b46e8b876d1c42dd24d6e2e3108e214</t>
  </si>
  <si>
    <t>f34b032a78a81050880a44a602b154be546d3d318c2a031b9b96f0ba3155d43f</t>
  </si>
  <si>
    <t xml:space="preserve">Transfer WWW TRANSFER - 4589 </t>
  </si>
  <si>
    <t>fee5570660587502a1f3671e35cc99e54ed12b2a718a68815c0d461585627a58</t>
  </si>
  <si>
    <t xml:space="preserve">WWW TRF DDA - 4589 </t>
  </si>
  <si>
    <t>db3f0af7cc68f3266064275987fba4cf1b8ae6e96f3125ab238ecf1e1b2b4d60</t>
  </si>
  <si>
    <t>135e0e5d18cae419514d80fe9c223695fbf61b3eb320141d8f802df78780ad6f</t>
  </si>
  <si>
    <t xml:space="preserve">Transfer WWW TRANSFER - 5771 </t>
  </si>
  <si>
    <t>some transfer in?</t>
  </si>
  <si>
    <t>dc6beeb42e07a6e011739a817497b7e151470a4bd91984aee432ca0785b5181c</t>
  </si>
  <si>
    <t xml:space="preserve">BULLOCK'S YIG #2719 HUNTSVILLE ON </t>
  </si>
  <si>
    <t>a537f8dbe958fe120741b390852ffff05c2764f0e0dcd9cceb6c8c2578e29db4</t>
  </si>
  <si>
    <t xml:space="preserve">SAND HILL NURSERY HUNTSVILLE ON </t>
  </si>
  <si>
    <t>9cffde8669b25fbcf9861b2e92e897e53afb5697b9cada51a2a3cded3d9705f1</t>
  </si>
  <si>
    <t xml:space="preserve">STARBUCKS COFFEE # 517 HUNTSVILLE ON </t>
  </si>
  <si>
    <t>16508c175e7ec597a3b6d91357ad77f881e13beb1542cafced178a2d28e6d2ae</t>
  </si>
  <si>
    <t>d7cea7eb4f10d2def86fbda3a8f8d5343485987447a4a6928d9b2383b9379c93</t>
  </si>
  <si>
    <t>cae8674ad6a8aed8dee08c9e0871e9edccdc98750d950b5974e9b5e78cef5cc5</t>
  </si>
  <si>
    <t xml:space="preserve">PAYPAL *DNBMUSEUM 7054762323 ON </t>
  </si>
  <si>
    <t>c464edeb8c222e8cb88d1878fb4bae04cc7c010aeeaa379c55986d697b88d1de</t>
  </si>
  <si>
    <t>4fd165c401f12d7e6bd3fd8adad653b0968fa2f67f78555ecbae47a97a1b0218</t>
  </si>
  <si>
    <t>9ca10b0319270d73f807dfe5d5936696fb4ddeb1584dd8384d574c20a273fea8</t>
  </si>
  <si>
    <t>95d71dd2407b6fdb827ce027c8aef0a5ec90e98b3613415c0a91179e5306d573</t>
  </si>
  <si>
    <t xml:space="preserve">ESSO CIRCLE K NORTH BAY ON </t>
  </si>
  <si>
    <t>d856f661e36b9394a910661b3ad67ccf84c377d0f0300909b45fc00bce0e5b65</t>
  </si>
  <si>
    <t>9bacbb3ed470a74d83b63cf992e5fecaa6c2def6fa052a2821bb2ee52935dec9</t>
  </si>
  <si>
    <t>3bc5f66c66c19413ec71877777871d18174d020d61313f829abae3e297a5aba3</t>
  </si>
  <si>
    <t>cade72c22ac7a001df49d075fa741071b19a2012050a0fdcc2bff9889cb2b12e</t>
  </si>
  <si>
    <t xml:space="preserve">NORTH BAY REGIONAL HEA NORTH BAY ON </t>
  </si>
  <si>
    <t>27a10248ef345cea3aa93125f0d262795c5b1a04d110fd1c3828d63a1c392d02</t>
  </si>
  <si>
    <t>5793b1838c97a319f592ef80f326a5e311dfbe3ca2164d09da04890d0a99f4c8</t>
  </si>
  <si>
    <t xml:space="preserve">Amazon.ca*PF4AN7FU3 AMAZON.CA ON </t>
  </si>
  <si>
    <t>c84abc3c56984dbe2385f7587f8c6c675308151d419257d91e3af690c82a403b</t>
  </si>
  <si>
    <t>c2dfbdca7df3069657cd465dbff10e00375964627ec33e2db55ee6b5bb01754e</t>
  </si>
  <si>
    <t>b1df7401c6b1503a46be6a8886ad1b98241864221b5bdfbbb28f67139c11202b</t>
  </si>
  <si>
    <t>158283b027147d7eea59af26aa0fe077b9f99a14435913023c396655c684595a</t>
  </si>
  <si>
    <t>48d6e356a8d667eb867e82f6b333b8a9c0474ee23198926ed5e98462280fd525</t>
  </si>
  <si>
    <t>88ebdf2ddefab18bf6f5843fd21faec918806568991cf17137e208d013d82f20</t>
  </si>
  <si>
    <t>Payment WWW PAYMENT - 6989 NORTH BAY WAT</t>
  </si>
  <si>
    <t>e45999d08d13a43b23e60650d4a458cd245b19e97f4a50c0fc0f5e4e2e48aa61</t>
  </si>
  <si>
    <t>d67591706cd0de43ab43126e345a02d714db0555ff600ca1735a1c7e153f8b44</t>
  </si>
  <si>
    <t>9daa465ab95f8609a82e8816e45e5556fc559b12ad4da323ddc970513a85eaa4</t>
  </si>
  <si>
    <t>993f232e1457dc7a34256f684390b5ccccb977bb23c42d780b66574b86e306f5</t>
  </si>
  <si>
    <t xml:space="preserve">NORTHBAY GUARDIAN 558103 NORTH BAY ON </t>
  </si>
  <si>
    <t>a3e72dd99f4af317426047aa3e3cfc2c0297906e7adce63ec4a0080761d1953f</t>
  </si>
  <si>
    <t>9820461b66804f9b42aae931b8d5463cb70e755bb3a1cb53287acade80fdfff0</t>
  </si>
  <si>
    <t>054f57fcd65cf83e5ecb50279cdb5890e71117ff8a2e270285f06cd101481157</t>
  </si>
  <si>
    <t>ad69ec10c453c22bb381e1ffc7a7466fd1f6384af07e8ebdcf932b1983ae9612</t>
  </si>
  <si>
    <t>bc6614e92302303f0425fb34c8620e935b7c990d6cdbe7073735a5e4efdc8d56</t>
  </si>
  <si>
    <t>d028e3c388f7f3a178711e19e07bc6be4dfa332f07665a612b2f5e41bb4cebed</t>
  </si>
  <si>
    <t>70767f6d4b577a607325e84fa2de7d65eacf8cb2af47f04d295c104e1a4ddfc9</t>
  </si>
  <si>
    <t>e73fffc20eac2a9cee6039ac2c38e2afc1b9ac248febd3c33b0bc37c11773f07</t>
  </si>
  <si>
    <t xml:space="preserve">SHELL C03395 OTTAWA ON </t>
  </si>
  <si>
    <t>fa666067563331dd71ee2fddeac02260eff4a31270dce6331f1624c4247a4764</t>
  </si>
  <si>
    <t xml:space="preserve">TIM HORTONS #1556 DEEP RIVER ON </t>
  </si>
  <si>
    <t>30ae5f43c1c26c179c30e50e6efbbb2974d3edc9c5f342212d7d545c079d821c</t>
  </si>
  <si>
    <t xml:space="preserve">GAYTRI MAA INC DEEP RIVER ON </t>
  </si>
  <si>
    <t>be9dde8b35e41a722a32eec40f808dbbbb6f2ccc8018eb83547303ea4fbc7afd</t>
  </si>
  <si>
    <t>AIRALO SINGAPORE 4.50 USD @ 1.413300000000</t>
  </si>
  <si>
    <t>757a8cb02783620c95e288578681d7ad511b608563d9ed67f513437e14748d87</t>
  </si>
  <si>
    <t>BOVA`S BAKERY BOSTON MA 9.36 USD @ 1.414500000000</t>
  </si>
  <si>
    <t>8caa56d87bb069a5dc5d65c969a244ff342be52c27ffc3b16d6061c0ec05b306</t>
  </si>
  <si>
    <t>GIFTSHOPOMNIPARKERHOUSEBOBOSTON  9.55 USD @ 1.413600000000</t>
  </si>
  <si>
    <t>ce0cdbd701a8c5a4b43993c5be4e40bce3fd06da428fa6bf14ae7ca15005649c</t>
  </si>
  <si>
    <t>MBTA HARVARD CAMBRIDGE MA 2.40 USD @ 1.412500000000</t>
  </si>
  <si>
    <t>eb781323cf5d38b50d5ed314f597553a537872404e9f06d42d4f0806888f3997</t>
  </si>
  <si>
    <t>NH LIQUOR STORE #67 HOOKSETT NH 48.97 USD @ 1.414900000000</t>
  </si>
  <si>
    <t>1d6aeb1b4958a815f8720ff96684dcbe6f5b4e4652126a31767de455718c261e</t>
  </si>
  <si>
    <t>SUNOCO 0267704500 HANCOCK VT 38.25 USD @ 1.414900000000</t>
  </si>
  <si>
    <t>64dd64468d738f46c0893e4943285b220973df66590f0ce0bef33a20716bdc48</t>
  </si>
  <si>
    <t>SUPER 8 MOTELS 518-5852617 NY 102.31 USD @ 1.415000000000</t>
  </si>
  <si>
    <t>a032bcd5126610d19181e47ae5a8f3f6ea949054ee02aeaa56ccf28fb65fa311</t>
  </si>
  <si>
    <t>TST* GRENDEL'S DEN RESTAUCAMBRID 77.52 USD @ 1.414900000000</t>
  </si>
  <si>
    <t>a5ed24dfbfe5688a66ffb1836ea8982cb899d9ca66b0a89f47b3828650936f55</t>
  </si>
  <si>
    <t>TST* NIGHT SHIFT- LOVE JOBOSTON  23.15 USD @ 1.415900000000</t>
  </si>
  <si>
    <t>fd717540422756b2636c0f18d43c34c0ca8f1be0a493c90796633b3b53082d74</t>
  </si>
  <si>
    <t>TST*COMMON CAMBRIDGE Cambridge M 84.66 USD @ 1.416200000000</t>
  </si>
  <si>
    <t>47dd78a5e7f09fa4581fc49680e97389d620dd4242379bca7bdd81fc538060a8</t>
  </si>
  <si>
    <t>218aba9ccbc65b2d9d07fbfddab106f9643e2f1ddc5e36be2067a8a0f72180bb</t>
  </si>
  <si>
    <t>1f23dbd6e15aebfdd8c8fac685849c7482d2e0225e3999e9be50a48e83570ac7</t>
  </si>
  <si>
    <t>COFFEE TIME BAKE SHOP SALEM MA 26.24 USD @ 1.416100000000</t>
  </si>
  <si>
    <t>5964d93186f5bea23c7af0be1b1770869294c6a713c212d13406cab33d5ee6a6</t>
  </si>
  <si>
    <t>STAR MARKET 2575 SOMERVILLE MA 69.28 USD @ 1.416200000000</t>
  </si>
  <si>
    <t>fecfde632ff9d84ac91ea4c0bc61d36f02c25454cde6096a1020a8139037dcdb</t>
  </si>
  <si>
    <t>TST* TATTE BAKERY CHARLESBOSTON  10.43 USD @ 1.415100000000</t>
  </si>
  <si>
    <t>3b50d18cbb8b5dfdc5eba4cadf88ff3b7d889ec723e860d151864827055672e1</t>
  </si>
  <si>
    <t xml:space="preserve">A30 EXPRESS SALABERRY-DE-QC </t>
  </si>
  <si>
    <t>9730e7f8e6ef25bd84404a7ce5b15d0720a09187fd4cc34cf13747271430dac5</t>
  </si>
  <si>
    <t>DUNKIN #341880 Q35 BURLINGTON MA 12.75 USD @ 1.416400000000</t>
  </si>
  <si>
    <t>c3c6ad9cc0ad442b20758ecdde0bbbdb9863515cd1cd14c8824c30bb331cca5e</t>
  </si>
  <si>
    <t>EXXON SHARON TRADING P SHARON VT 32.12 USD @ 1.415900000000</t>
  </si>
  <si>
    <t>58582d6fcb446c5c91b7d75623707f80a0c0777f51060c71e08239baeb2e58ae</t>
  </si>
  <si>
    <t xml:space="preserve">MOBIL @ 7291 ARNPRIOR ON </t>
  </si>
  <si>
    <t>b2606054c1e8b179aafcca2e37b0dd5e98c47d10bdff5e589d037caa600be375</t>
  </si>
  <si>
    <t>TRADER JOE S #515 BURLINGTON MA 128.29 USD @ 1.416300000000</t>
  </si>
  <si>
    <t>80498f04ed1232942e37a9e25e9d2fdc8eca82f8247ad7038885bb57d8dd389a</t>
  </si>
  <si>
    <t>TST* NOTCH BREWING - SALESALEM M 23.99 USD @ 1.416000000000</t>
  </si>
  <si>
    <t>a314c01f2382d439e328f40be61e37ecd7950542ff3a2177cb13464cf8fed8bc</t>
  </si>
  <si>
    <t xml:space="preserve">WENDYS 6430 ARNPRIOR ON </t>
  </si>
  <si>
    <t>a8ddc46dc7b79dd3396fc48f6a5034e5d519d44a30d3b13b6c0812da29c0c215</t>
  </si>
  <si>
    <t>543c942227043c7ff1ebfe8489b15545dacdd750b3913e1ff1da808e51f3ddbf</t>
  </si>
  <si>
    <t>1872c79500507e9ed5f197b239867a0207db9801ff64241c4965fd4563a48944</t>
  </si>
  <si>
    <t>06e3279babc06d2fdb6f596ecaf5b847b4c603839f84ec79157d07306d9ca2ca</t>
  </si>
  <si>
    <t xml:space="preserve">MOOSES COO* MOOSES COO NORTH BAY ON </t>
  </si>
  <si>
    <t>c417274441f710a448c7ebfb3436166daefd1c8664109bce2af5207ba9d29b59</t>
  </si>
  <si>
    <t>4afe2621cafc789ba018b65b039ddce44e905a243249a29f461fa07cbaaff337</t>
  </si>
  <si>
    <t xml:space="preserve">PAYROLL DEPOSIT ONTC REGULAR PR </t>
  </si>
  <si>
    <t>82493ad25fed6fd74c275c4b7298d84199e53d2e03df74ad7be618f976bd5033</t>
  </si>
  <si>
    <t xml:space="preserve">WWW TRF DDA - 8770 </t>
  </si>
  <si>
    <t>02c1edeaf9d36aafbfc77a31335499ef8f82ebf0efc645cf5f54519cc560b700</t>
  </si>
  <si>
    <t>5005c51e2da5e79d7d90c12ba9a8ba0d4ff82d57b1992bf7bd1463469a77a3c6</t>
  </si>
  <si>
    <t>593ee1005d53237d225fcdc90538eab5149a1c8457b3b3ad36b573a6ba11a6ed</t>
  </si>
  <si>
    <t>8286e023f8349ce6649aaf4da6cc1749f4a1bce33b4ca443b001677b4d790550</t>
  </si>
  <si>
    <t>ac1437d37b51893a00c2d58ade66fadcd2ce01b3111e1f6f936875eae4c3b8d0</t>
  </si>
  <si>
    <t xml:space="preserve">AMZN Mktp CA*782GA9ZS3 WWW.AMAZON.CAON </t>
  </si>
  <si>
    <t>6c309b4069c895baa13bfad3516961079156c1999f31872eb141b5a1da6b1f3d</t>
  </si>
  <si>
    <t xml:space="preserve">AMZN Mktp CA*A999S39L3 WWW.AMAZON.CAON </t>
  </si>
  <si>
    <t>afb87c53a4b555baf93dbafc21fe5cef511087e51ee65f1124c62fae65ffa292</t>
  </si>
  <si>
    <t>split from beer store</t>
  </si>
  <si>
    <t>3ffc4bb718c41bd63f5e56c88e61e7b16bfcba1a57a57a61fb939f5cc3b3f44b</t>
  </si>
  <si>
    <t xml:space="preserve">AMZN Mktp CA*1L8QJ9F93 WWW.AMAZON.CAON </t>
  </si>
  <si>
    <t>d2652ab8dc8148c001699d85da85b405fc9258a64312f7e50a6aeafef9765b2c</t>
  </si>
  <si>
    <t xml:space="preserve">AMZN Mktp CA*GF29E9MD3 WWW.AMAZON.CAON </t>
  </si>
  <si>
    <t>de2f6d7adc897119216028fe70ad3593c3d00451c44bc01285e4ae249d7cb274</t>
  </si>
  <si>
    <t xml:space="preserve">AMZN Mktp CA*MT0G95K23 WWW.AMAZON.CAON </t>
  </si>
  <si>
    <t>c64abe60558cef9ce3855b29e87d0b0ac75fcc44c63eb5af20f31ed6f4dc741c</t>
  </si>
  <si>
    <t>9fc28e0e94ca13cd13bf858141d5dc1ca11ae4e8f33de93c02e12c8786565f39</t>
  </si>
  <si>
    <t>f920fbcef061713a6914da7e0a61fc7cc5bd21472fd173638136a74736811e15</t>
  </si>
  <si>
    <t xml:space="preserve">DOLLAR TREE # 40280 NORTH BAY ON </t>
  </si>
  <si>
    <t>e8a9e1ede0964118b131ad56c31c0a85347473d943927e0d1fbbe7e5d4c6867c</t>
  </si>
  <si>
    <t>2d7d9a0a336db40b25cf18e26bad82a0e4f725a22490afc9cc93d02a0085d142</t>
  </si>
  <si>
    <t>2c25390dd75441106e9e86493f8ec69842367a3b84fd8b8807cb3765512e5a94</t>
  </si>
  <si>
    <t xml:space="preserve">DQ GRILL &amp; CHILL #12323 NORTHBAY ON </t>
  </si>
  <si>
    <t>d4c113849d95238f154de675ee8817a963f91771885367b640c541d6d627a50f</t>
  </si>
  <si>
    <t>e8ea0ef680811267f7d42ef874fb94372f33b48db0175e4862da240ff0a3bf12</t>
  </si>
  <si>
    <t>e63f5cd59b462954f40a6fcdcdaff6341ea3a82b27cc31123641baca01b15d6a</t>
  </si>
  <si>
    <t>3b3b047a3765025440d71eaa116fb56da5941a383c0b4ab76142efcbbdf037f9</t>
  </si>
  <si>
    <t>8a4c1a00db72ab90869dce517a925523465124655843c38f85507e5080965fd6</t>
  </si>
  <si>
    <t>9c30d1bf19d4708cce0b4aec8d08ae6074ecf17cbbd39717d7b9a56781777de6</t>
  </si>
  <si>
    <t xml:space="preserve">TOKYO SMOKE NORTH BAY NORTH BAY ON </t>
  </si>
  <si>
    <t>1bf4abc0203f0e4037b10b4e835a884b358a2c7826d24bfd39f45e80ad3874cd</t>
  </si>
  <si>
    <t>050b548fc687c2e0a91e5f24a120466e7c709979ddbff433835bc8ac82588f57</t>
  </si>
  <si>
    <t>dfce963367e8c343453d1822f537214bef962b2ea51e5ea88470d50d63e36cbc</t>
  </si>
  <si>
    <t xml:space="preserve">ANNUAL FEE </t>
  </si>
  <si>
    <t>e76de7ae4862ac0e2466f0fb6f0aa3f2115bebfa527ded7a7a3ae303e5884bbc</t>
  </si>
  <si>
    <t>222738c7fb3a9d3a67f6e630790f55f0e8590058ad6db2d20ad712ecc868d57b</t>
  </si>
  <si>
    <t xml:space="preserve">WWW TRF DDA - 7276 </t>
  </si>
  <si>
    <t>3359c6270b378c4b0ec6a962cc38e4c31a5c8f87a1e4dffc5dd3f2df2f24d138</t>
  </si>
  <si>
    <t xml:space="preserve">Transfer WWW TRANSFER - 7276 </t>
  </si>
  <si>
    <t>352e7664af9a716615a6bf47023a47b2f47aedacdcee75133c995d620fe1e3f9</t>
  </si>
  <si>
    <t xml:space="preserve">WWW TRF DDA - 2563 </t>
  </si>
  <si>
    <t>084a2378553d53cb50291a2918ed13eba63cc357b1a791806d797df903f5bec0</t>
  </si>
  <si>
    <t xml:space="preserve">WWW TRF DDA - 7275 </t>
  </si>
  <si>
    <t>a8a7f5b4a23ef1e1a661a8c32da3af9e0ad3e789ce665f9b1798204a92336199</t>
  </si>
  <si>
    <t xml:space="preserve">URIDE THUNDER BAY NON </t>
  </si>
  <si>
    <t>6f8adbd2886dfcdad9e4c556109b0449d70c29eeb64276c622d559df91590571</t>
  </si>
  <si>
    <t>b9ab440db379768df074be426be9bf648a9c1021f7a7c833c49b1023df223cd2</t>
  </si>
  <si>
    <t xml:space="preserve">TWIGGS COFFEE COMPANY NORTH BAY ON </t>
  </si>
  <si>
    <t>23a8130f41e5e1a2e56eb97c077d9acf70bd7e175d01f0027fe3d908ad723dc3</t>
  </si>
  <si>
    <t xml:space="preserve">BATH &amp; BODY WORKS (CANADANORTH BAY ON </t>
  </si>
  <si>
    <t>f4540a31a6512379bbd720b47a6bfc9e6cda3bdd40fc06ced4d61e6fa3863dcd</t>
  </si>
  <si>
    <t>balance transfer from heat/gas</t>
  </si>
  <si>
    <t>4540a7107e9e5779e1d0b211bb411f57c794baa14d6d1fa71dc6a5e9f03fb1f3</t>
  </si>
  <si>
    <t>balance transfer to sewer/water</t>
  </si>
  <si>
    <t>c3ba4d35f53d1be49afa8ffc169986bee94a2e09d2e65b683e866dc2f21792c6</t>
  </si>
  <si>
    <t>split from walmart</t>
  </si>
  <si>
    <t>ac10e69b4106257c0250c3cbd9df73d38d5284b60156f55ce9d0ce82b31787c2</t>
  </si>
  <si>
    <t xml:space="preserve">Transfer WWW TRANSFER - 7665 </t>
  </si>
  <si>
    <t>7efeb060efd866b76f7467e5cbfb76b2b2349d422aac1b3b02838e62d40d11ee</t>
  </si>
  <si>
    <t xml:space="preserve">WWW TRF DDA - 7665 </t>
  </si>
  <si>
    <t>9322fc98de4f5e5516875b7723152d655212d11d3dc15a457a74773f9f07fb51</t>
  </si>
  <si>
    <t>442c16c1c2e98c3bc70570e3443e0e07d0b7677cf0833ecc388fa096d15b2f29</t>
  </si>
  <si>
    <t>34b8d01f48f00c4c28dcee8dfdef9339e4b4f2ed920d78b51eaa38f7fd3d0a95</t>
  </si>
  <si>
    <t>cfefc5a792f9101ff1829ff5a1966ed0cc2834b1a463f696fde047a7d566bda0</t>
  </si>
  <si>
    <t>30158e2a0f52e659c93c264259451a2c2c6c2eb6f2a5a280ece8f0752025a80b</t>
  </si>
  <si>
    <t>e3dfadafbc4738666fddbd9e01389d6784dbb36464b88e0497087c90a75a4f1e</t>
  </si>
  <si>
    <t>6b032aead13720ac7e84703b1ca708c43796914c95612bc4600e8bd6f364d39b</t>
  </si>
  <si>
    <t>af78a83e35da75ece27a15453f93b92c31961a23b81c68fa8e92c96c45901fda</t>
  </si>
  <si>
    <t xml:space="preserve">WAHNAPITAE ESSO WAHNAPITAE ON </t>
  </si>
  <si>
    <t>a7a62ddcaeb3dcddae56edc266673024838ca11438e4078eece704d4a6318b56</t>
  </si>
  <si>
    <t xml:space="preserve">KINGSWAY ESSO SUDBURY ON </t>
  </si>
  <si>
    <t>9663161bcca7de588fe4225270cc80e8d655b0ba3e6a1ba7b7de1f33364129fc</t>
  </si>
  <si>
    <t>2fd470e0ea22963bdba8146fedae9500402451b6718cb3034227e1b22eb1a0b0</t>
  </si>
  <si>
    <t>5aa809ed9c384c40bc0f5ed9c404b9d2bad919be8cf483da9246c4a2254079bf</t>
  </si>
  <si>
    <t>e5117c90c75621b7ad516b8df2eee9ecec7bf7f7fb4c69d14b49ebb5f6f71b7b</t>
  </si>
  <si>
    <t>2c9559b81a1d7fe1c4b3808850a81c42b4ab66f13d34319d40bce51cd1569c5f</t>
  </si>
  <si>
    <t xml:space="preserve">SLEEP COUNTRY - NORTH BAYNORTH BAY ON </t>
  </si>
  <si>
    <t>7a6b28d4d5ca6d19d57ae8796f65c7f2191bff6c61b39795a1a4079e01bdb8de</t>
  </si>
  <si>
    <t>Payment WWW PAYMENT - 8912 NORTH BAY WAT</t>
  </si>
  <si>
    <t>b1b2e371858834dbcb7dbe40829f229a1a2d20c7d5850753adbf1c03938fba63</t>
  </si>
  <si>
    <t>42a1efcc31fab51e4a33bec3c76eda6eb0e92a116a385817f187f73332903b10</t>
  </si>
  <si>
    <t>6af555ddb5ca2e2e79317c8cfc25a3688ef8495d9b16d5e17d883b5da1af4f53</t>
  </si>
  <si>
    <t>e4063ea80a96852d7b29ab6d79124bd6bfb3f012f6ca3fdd73dc5efbbc70002e</t>
  </si>
  <si>
    <t>e907c5c12b73c25fb1112df327917f143d43df14a979b89a2f0517bee8ef7d34</t>
  </si>
  <si>
    <t>58818b63db3a244a70e2b2173e2fa716df52678d686f24c53afe142531fa762a</t>
  </si>
  <si>
    <t xml:space="preserve">THE MOOSE COOKHOUSE NORTH BAY ON </t>
  </si>
  <si>
    <t>cb3e703538f386e11bd41237dcda893c3cf603419419e0478fdf3cbb04c62eaf</t>
  </si>
  <si>
    <t>a4860af35d45c13d7688ef7e9afe38f0a01ef5aa019c0faa40f815ff223558c8</t>
  </si>
  <si>
    <t xml:space="preserve">ORCHARD'S FRESH FOOD MARKNORTH BAY ON </t>
  </si>
  <si>
    <t>9dc59b280951bda856c351e9b1a012a29f7058d15e05ba3ff79a9c6028aa29ec</t>
  </si>
  <si>
    <t>8644877ce04396869dce061a075c1420300403e5656f3bc3c19b75bdd0de115d</t>
  </si>
  <si>
    <t>2fa4bc04bc741522f6a179b2ec3e0bec03a45e8cdd337f9f6cdc7aa56e20c189</t>
  </si>
  <si>
    <t>0bb1973c210c10971903f7bfc723d85d3e16238e2a4c8b3b7b749e3d90761b5c</t>
  </si>
  <si>
    <t xml:space="preserve">M&amp;M FOOD MARKET #092 NORTH BAY ON </t>
  </si>
  <si>
    <t>6a5f4a8787cb060c70b6a051f18123798cd2d702af5286e0d7a00b6c59619494</t>
  </si>
  <si>
    <t>22e23d0d08eaab65344eaff0eb6eb3a74566c938a3e06e0424960252490dcf37</t>
  </si>
  <si>
    <t xml:space="preserve">AUTOMATIC PAYMENT -THANK YOU </t>
  </si>
  <si>
    <t>18b05f3e12fe353ed9b88e24dd2cad7af62ebcd4e8e46dc99b6dbb6f35a9f32d</t>
  </si>
  <si>
    <t>8be2a84225c2ce95adf38e0ccc282826ec089ab78d3209b1e1681ae79cbad049</t>
  </si>
  <si>
    <t>9289a177ae88cfe826af2747881157e26ba2ac4448e4afb0f769fb666e87d14a</t>
  </si>
  <si>
    <t>6043ac517b09b462e4fa13604d4607e55562bc4638dbd46357616371cfc71ae2</t>
  </si>
  <si>
    <t>95493b96def92759864c66c4e19b3f03a24d2409f6109ab02fc9e5a1d5826587</t>
  </si>
  <si>
    <t>7d33c21ca2abf7cb1fcec040f69ef4dfcde6b17c2c0acb899fbbaeead9961474</t>
  </si>
  <si>
    <t xml:space="preserve">AMZN Mktp CA*2T91O2593 WWW.AMAZON.CAON </t>
  </si>
  <si>
    <t>5aecd411c0c0f61434adac4e70d3eff21d77854e420097b2e2741d448e4bc4ad</t>
  </si>
  <si>
    <t>5a2214d37a180bbb1cc11ec9458b9e555bdc5009c65d36f1efe880258e129ff5</t>
  </si>
  <si>
    <t xml:space="preserve">CAPITOL CENTRE NORTH BAY ON </t>
  </si>
  <si>
    <t>d4ad2ddd74b8d4556a7e08a6ada4510f3b99c19d9d085280cd2863d02789f831</t>
  </si>
  <si>
    <t>4e3bc5195c3019acf3174741b36371e0b0f862f022a1e9a9e9bd7488b68d76d0</t>
  </si>
  <si>
    <t>57fc836e88e8ecfacc5a1a922cdfc039d78428c22d88a18e93fe51355c7fe407</t>
  </si>
  <si>
    <t>db4ba6874471bdc564b02e379706923a85fefebf565a23c428383710380fa1c5</t>
  </si>
  <si>
    <t>e662ce4812319c4b50ed3e90d34b8d9beaaadb99ab486a06aa7ea461e9c51fa7</t>
  </si>
  <si>
    <t>a6336f8f41b15d3d0f52c9b5531eef7c2cf704a48fd94644269efc20363d45e7</t>
  </si>
  <si>
    <t>92746e34383a4691974349b6ccd1e5259c420c3eb61d5e018c290d51f44eca32</t>
  </si>
  <si>
    <t>andrea gift</t>
  </si>
  <si>
    <t>split from personal care</t>
  </si>
  <si>
    <t>9443eadb39309fa829eb4c86116985c1e9de7d1cb8767e361be584ccbacd0542</t>
  </si>
  <si>
    <t>29f03fcfbead34ca72d10c7d2b84086b70aefc5d901e75e3be7168b418bbe07a</t>
  </si>
  <si>
    <t>cb0a190f8c20c331ca49ce2fcd529753695a0155a3fcd157eb9af7e59e44575b</t>
  </si>
  <si>
    <t>48adc115a24f34dc3c6be1f18d555965bb4559ac8709c6d592d65d5675108648</t>
  </si>
  <si>
    <t>e5b6cb94dbb4286cbbaeb0fd7dd984ef6dbbb7c1eb34b51f0ff5aafa1e46bc72</t>
  </si>
  <si>
    <t>split from clothes</t>
  </si>
  <si>
    <t>2652152b9ef86fbf3fe2ccd04725084026ae4cd4f0672ddff803e251dc03b1e4</t>
  </si>
  <si>
    <t>1d1e41c0af878d5009b5fc4e4ba376554ceecbed821c9a53220dc5537ef7fb58</t>
  </si>
  <si>
    <t>2329f61cc78dd18c3e5f1e6c94e49ab50d19bc71a02cdf1de325ea2a1dfe31f9</t>
  </si>
  <si>
    <t xml:space="preserve">CINEPLEX 8030 WEB QPS 416-323-6600 ON </t>
  </si>
  <si>
    <t>091fb98aaec9ebcd585c77c6d264f07801b470c6da58ee140e511ab9dd7691a0</t>
  </si>
  <si>
    <t xml:space="preserve">SWISS CHALET 1913 NORTH BAY ON </t>
  </si>
  <si>
    <t>4c5b6c8919476fab995e2dd4333194274e339d00059e2f2559d8710ed39c5412</t>
  </si>
  <si>
    <t>d82f5e69b54824ac9e2313d608e91fd1cbb0e8da5b89dc18524ac998981f7a88</t>
  </si>
  <si>
    <t>49a0e3df005d1f64e47c7301095e28e193b0c72c10345df75903f0634865f7c2</t>
  </si>
  <si>
    <t xml:space="preserve">AMZN Mktp CA*Z31AK9XS0 WWW.AMAZON.CAON </t>
  </si>
  <si>
    <t>eec64e46fcde22ef5006230cb83df386cebdbdeb7347d5b582c974746cbfd9a5</t>
  </si>
  <si>
    <t>41392c559a4efb9d0818b40d267e2da4a3626c512f8b7ae4774700b60f73b5c5</t>
  </si>
  <si>
    <t>758d2486b1c57bd53dd85e4cce9d493ce076071a6ab00dfee4b75bda22ad787d</t>
  </si>
  <si>
    <t>db40074ac355c67b98fa5d0c0079aa2e7e427bdd0a65db46ea03a1fb2b89042d</t>
  </si>
  <si>
    <t>f4507f5e5687b34fe0031d9d688e8e86ae2b8b2b240ce972049c8ba32cb05ef8</t>
  </si>
  <si>
    <t>9f70689790dfb9bc0cec15339de0e669432dd32edbadbccd491620c08829edab</t>
  </si>
  <si>
    <t xml:space="preserve">AMZN Mktp CA*ZL9P14NC2 WWW.AMAZON.CAON </t>
  </si>
  <si>
    <t>1f9840501e1735b651e6d3d912e8e4f69a8c1754379b4ce1a42dbcea615971df</t>
  </si>
  <si>
    <t>2857090f29aea174d39b7ae7c2f9b490ff4f8c34581d07e1331ac244c5d50226</t>
  </si>
  <si>
    <t>04d62ef9b136e093c3db8b882c4f0bf726df080aea7144602c7017c6dc80a035</t>
  </si>
  <si>
    <t>62eb0dd96e7f9a65518d1a0a9f74715dede188825b41840ad733f70971c72a88</t>
  </si>
  <si>
    <t xml:space="preserve">GATEWAY CITY BREWERY NORTH BAY ON </t>
  </si>
  <si>
    <t>b55055b5f06de20b73f5766d1c38c03389f4ebc8eb6b917680c411cad07a625f</t>
  </si>
  <si>
    <t>536da0d46e6805ad37923ccaff3e481f4364186a1e7b457157214a4d3fe4c26e</t>
  </si>
  <si>
    <t>2054fda5a52e68c5117dfe8f3791beae8364be1312dc688251d3b684cccabcfe</t>
  </si>
  <si>
    <t>cdfc13a95f9a6b191cfd3d4038c504a2da079ec79c1ef9fcd35606536b7db46e</t>
  </si>
  <si>
    <t xml:space="preserve">Amazon.ca*Z32FE0ID1 AMAZON.CA ON </t>
  </si>
  <si>
    <t>6fd3e9525bfcd8e13e247378c47efda06878a1d4f094ac4f3e6cc8dc2ba40b7f</t>
  </si>
  <si>
    <t xml:space="preserve">STARBUCKS COFFEE #5686 NORTH BAY ON </t>
  </si>
  <si>
    <t>8a2eeb5cdc2588d379ff29eab0c0ccf2c420dd6e5d0eb0dcaf74532d1fb52d6e</t>
  </si>
  <si>
    <t xml:space="preserve">AMZN Mktp CA*ZL8164AL0 WWW.AMAZON.CAON </t>
  </si>
  <si>
    <t>4ca35c8d3e22f7f85114f22a5774eb9654eac4ae057b5e1cd10e4dda41f97efc</t>
  </si>
  <si>
    <t xml:space="preserve">WWW TRF DDA - 0258 </t>
  </si>
  <si>
    <t>7639185f20f00cc35716a9460ea9fd59a7d8efd3ee6a05b3360a4f6f3305846f</t>
  </si>
  <si>
    <t xml:space="preserve">WWW TRF DDA - 2489 </t>
  </si>
  <si>
    <t>eba4df6e3ba8b2eed115d14d3911c8469167eb11263334cc86693539ed30769c</t>
  </si>
  <si>
    <t xml:space="preserve">AMZN Mktp CA*ZL8EE6QM2 WWW.AMAZON.CAON </t>
  </si>
  <si>
    <t>67be73d35da8a7bce02e5f43a3fc0f319c13814714ee5c5eb73bed0454f9f818</t>
  </si>
  <si>
    <t xml:space="preserve">AMZN Mktp CA*ZL8G65H80 WWW.AMAZON.CAON </t>
  </si>
  <si>
    <t>5e8277bf85aef478fdd3772dd5683ebabc1bef47588e4c05eb0a370e43729cf9</t>
  </si>
  <si>
    <t xml:space="preserve">AMZN Mktp CA*ZL5GC5HK0 WWW.AMAZON.CAON </t>
  </si>
  <si>
    <t>fd36425366a3f758dc0eceb9b26480201b657dab3a23a856b611d607dd732ea5</t>
  </si>
  <si>
    <t>d6658f4e5ab96c2d8c5d1935f7c6d9a6dcc1f24457388be21f1cb91828b4357d</t>
  </si>
  <si>
    <t>815395f5f326c4f509908fd1455d3399aba4bc5d39b5d2e6599ec607a4bcfc16</t>
  </si>
  <si>
    <t>9ec9a28626b7e8da0b09d212dcad29f399b18e8fcfb32e7cd2e6ad4cb526748a</t>
  </si>
  <si>
    <t xml:space="preserve">PARKER'S YIG #2639 NORTH BAY ON </t>
  </si>
  <si>
    <t>250b108748a99062fe17fc0eaff424f287dd067271de99423c181617f0e90f28</t>
  </si>
  <si>
    <t>8957c5a9028a2d787f2b6a87a9eeb3c7b840a4ec343b02be1ebb7c7182d01eaa</t>
  </si>
  <si>
    <t>575719d6eb5376972b09224c1061632bd41ed211b104b4416aaca3d60670b9d7</t>
  </si>
  <si>
    <t>5c6e7d75de4fb8b31b4c0b575840202bdd480c35d0344aedce643eb9d81c3b92</t>
  </si>
  <si>
    <t>transfer from acrruals (andrea wedding fund)</t>
  </si>
  <si>
    <t>146f1509b1a7173cbc7b385485b6da9de4fbeebaa2d860022093c546f6f8ac83</t>
  </si>
  <si>
    <t xml:space="preserve">GOOGLE*YOUTUBEPREMIUM G.CO/HELPPAY#NS </t>
  </si>
  <si>
    <t>871dea385651e98424f64c1855bbdc5a22c6d440005353b17a33c2f4dce44e4f</t>
  </si>
  <si>
    <t>c375fe917ebdfc2aeced2f6b83f36a723b11d8e03ccf1e6b5db0e914f19d7de4</t>
  </si>
  <si>
    <t>17411fd74d8a313deb9fbdfec300a8acd0fcdce964460e02c6d3643af5bfb160</t>
  </si>
  <si>
    <t>bb4ab0be6f07150a94778f2c081f72e36ad0a7251a2107b3243bcba630403e7f</t>
  </si>
  <si>
    <t>a6b2e687d23794ad49d0e437a5d89484598de745009bcf438b149f7545a03cc7</t>
  </si>
  <si>
    <t xml:space="preserve">NORTH BAY BATTALION HOCKENORTH BAY ON </t>
  </si>
  <si>
    <t>717757d2b151891a5de3cc816f37501b9496eb752749965045528418514b2be7</t>
  </si>
  <si>
    <t>d026b93789b76a528c38aa04fdd34655a1acaab666b71def144c950c9319587c</t>
  </si>
  <si>
    <t>Payment WWW PAYMENT - 5278 NORTH BAY WAT</t>
  </si>
  <si>
    <t>b336c46e1b32b2a8685b79b8e0555411e8371f921e5d37817c468b014781c8f5</t>
  </si>
  <si>
    <t>68910dec79ecb9dc26356d16f25178c7a8641c9dbf8bfe15efd8acc819216917</t>
  </si>
  <si>
    <t>513f30a6316da3a3ca5d2a76c2f2e025000c3ede8d957616af74c6a0d481e1d2</t>
  </si>
  <si>
    <t xml:space="preserve">Transfer WWW TRANSFER - 5169 </t>
  </si>
  <si>
    <t>da4e70dffc0458887d04437fe6cd2fac69490ca3bc73fb2e2a0b232c4172b256</t>
  </si>
  <si>
    <t xml:space="preserve">WWW TRF DDA - 5169 </t>
  </si>
  <si>
    <t>3af42d5fb910e017e53d6e7f9c8e9eb7c7ad3bd0ca4300873a3a475cba7ac51c</t>
  </si>
  <si>
    <t xml:space="preserve">WWW TRF DDA - 8946 </t>
  </si>
  <si>
    <t>a29279f6ec1696b9324fc99dc94e1cb9903b092f6556ba1b5e366e70ada81c25</t>
  </si>
  <si>
    <t>b4fcb8dd1e2947d1fb799fe2e3dd3c301826c3865b9e9c2d74e3c4aed939eba1</t>
  </si>
  <si>
    <t>ac81bf6db63235492b0dd2daf2f59f610fbd60af3edf1ba97905249790730d54</t>
  </si>
  <si>
    <t>2d8dda9dc928f0cff5ed0317a4990e90646eefce85dc4ebcc4f78c0730b57ec2</t>
  </si>
  <si>
    <t>a0a7620af199e4d594624413822232c982c6756e716c0a2a20beb2756c64a9c8</t>
  </si>
  <si>
    <t>544c34b7cd22a7ae619237682c5ab35dd26f2725656944a5f8eb68ff22886274</t>
  </si>
  <si>
    <t xml:space="preserve">CHA MIAO MIAO NORTH BAY ON </t>
  </si>
  <si>
    <t>1741611edc3f3202eb47add978a896819a5a8325877a00486ba56c4abcaf5b3e</t>
  </si>
  <si>
    <t>a84664c7fa1f6cd218d1556981b10357e1fe6282ac097fe56d84293afa7207ef</t>
  </si>
  <si>
    <t>b773f255ad4d92f38d1da4605b9a3eb7b26d343bd118dbbc95a4d384f6c0b32e</t>
  </si>
  <si>
    <t>c0aa129f2beb1d977ca82c5ae8a4fa134771e2a1881a1e7560ae40b2bab2f64f</t>
  </si>
  <si>
    <t>e366464613a20f3b9d1b73f08993966f70fcb39304c916d7f5465705326f87ce</t>
  </si>
  <si>
    <t>84cd2622c0dfdc3aeffb495380135a0fd9d05eac8105c72738d54f4c4e86049b</t>
  </si>
  <si>
    <t>63ef50f045630b0b02566eb49aae6558c0193eebcdb7b51b1bd212e6b0248b20</t>
  </si>
  <si>
    <t>b08f8d27cb32c1074d6653e6067941a9c37e845f4bf1a5b8fdcd8a0c27fa2285</t>
  </si>
  <si>
    <t>fda35ac7b3a99914470bb177870a1447779e0f8a4bb63754c6a7f3feaefbec73</t>
  </si>
  <si>
    <t>5b460fb98c427df142b653a5b8e36275bf9aa961cd8aa61befe6b2aef4362ab4</t>
  </si>
  <si>
    <t>2d2bb91fb89f11fb37e22a76f2a70538ae16d4d58c23680c9ea0645c9c59d540</t>
  </si>
  <si>
    <t>3d5d54e13987926c7fdc1186f547065a182aca9ccf9d3063c9048e7aefe4ca85</t>
  </si>
  <si>
    <t>e9aacb5a98ab06e29b73c658ecac18d260045e59b9694491b4d74020423cc5d2</t>
  </si>
  <si>
    <t>c2ae3183d53a359fd992cbb9fd486b39f8cb57fa5357280c84b63c9ded4234e2</t>
  </si>
  <si>
    <t>954fdf8a0ec9c1b0a4d652aa216ac06280f125b8e22543632c21235bffaafe09</t>
  </si>
  <si>
    <t>efcfd1be93b9f86fc16cf58cdd16f7046a0c4ed0b5f0d48be54ff8a22b64961a</t>
  </si>
  <si>
    <t>530625d18486e84995ea022b73e1b3c73d66b0e0e2f427cd7c9875c452403e01</t>
  </si>
  <si>
    <t>split from gifts</t>
  </si>
  <si>
    <t>868f24b409a23f290dd4c2b913a7bb69b959bf85703fdbb5a92359291212bbd7</t>
  </si>
  <si>
    <t xml:space="preserve">Amazon.ca*Z133U9TB1 AMAZON.CA ON </t>
  </si>
  <si>
    <t>54330daba198bb583452ee1aaeab922bff17557f653bd1e328cfebf9e120ec80</t>
  </si>
  <si>
    <t>113a4b915dfde529b163df7bf8ae15a78886b35728b1c619ff6eab0eb72ff9f5</t>
  </si>
  <si>
    <t>849249f3ef93b6231448d383162246fa599107375bc1dcd6b8cfe10df54daf3c</t>
  </si>
  <si>
    <t>85a8143718d7dc19f3c33d68278ae1f9ec54e6a34ea74a11a9500c8f3de3d7c6</t>
  </si>
  <si>
    <t xml:space="preserve">WWW TRF DDA - 6506 </t>
  </si>
  <si>
    <t>40735a3f02fec7e16a18abce1b0984fce11abd01b0e63945681d507d4e834682</t>
  </si>
  <si>
    <t>ff5b1f9c2fcc513ca39a502bc951e73fe16d38d15a6a4218f414322801933cb4</t>
  </si>
  <si>
    <t>d1e6d11778d50ef661b473fee98d161677c255bf67de238c83c2ac514115a850</t>
  </si>
  <si>
    <t>b6f299aa9b1bd227c4e548bf94275ca799fcd796c9f40dc957d6282e42296d77</t>
  </si>
  <si>
    <t>d533937e97ef818e9ee3699e415690f38e1244060688a6296b898fcb4f0c56a8</t>
  </si>
  <si>
    <t>1eaf923f7a45daca1025c92eebd6219eee06eec6ed2ddb6546ceb1ee850d6e64</t>
  </si>
  <si>
    <t>1e04c7fb9e23ea6519d2f81aae923eca8465694cd5c466124205fac9ae4482f5</t>
  </si>
  <si>
    <t>f4ea17722d59a8134133d3a0a7677fcd86845531cc04e0e66b9b7d194a208ad3</t>
  </si>
  <si>
    <t>76785c7b0e39f147acbd67e3c88ccd6b383e552fc4724ea459443750f695be69</t>
  </si>
  <si>
    <t>43caedd7944133887acd42060d37afe51baf55873beccdb7b1cf335336fca2ca</t>
  </si>
  <si>
    <t>4a29f2040fa0cf4177267f2bea5ffa65e828d20cd8d57d7370c3232caefebccf</t>
  </si>
  <si>
    <t>dd073a0c843bfddbe2503f5ca08d6b3f77bd658e4cebb938927d837e6f45b614</t>
  </si>
  <si>
    <t>2d1b05a2ae54d34b26bb04ef88a1161205ebf5b847ba30f37a2d77d8d36a2629</t>
  </si>
  <si>
    <t xml:space="preserve">WWW TRF DDA - 3710 </t>
  </si>
  <si>
    <t>984622b7fdd970a56296ea213c5478a5d4fff6071ab399b72f2776d82118e3ad</t>
  </si>
  <si>
    <t xml:space="preserve">MACEWEN - CORBEIL CORBEIL ON </t>
  </si>
  <si>
    <t>3ecf719be39f6d88fc180fa94c60b06db1d4d980e0f8ff8e064432b933e57d7f</t>
  </si>
  <si>
    <t>37e45e5157249d4a1951884ed2e27f05595450cb92cfd3a0b8ef161d7ef10cd5</t>
  </si>
  <si>
    <t>0b0ae9e4aa165e1521a73d749746a3131002396fdbbedc1b164ed8cedcb6dc87</t>
  </si>
  <si>
    <t>aaae587feabe6275904dc13108310c7e38b4292f1cb8a87bdbe52fffc50a145e</t>
  </si>
  <si>
    <t>edc220cb10989c3aaca2b2d9e031ff9e917203d6b1163efe1fa575755ac292fb</t>
  </si>
  <si>
    <t>5af0207f43cd2619326eff0a4d605adde66ec2787b895192eaef01946953a887</t>
  </si>
  <si>
    <t>2f2da190127e926610742542a464df60bc2598e83204adb29f42007d603d41de</t>
  </si>
  <si>
    <t xml:space="preserve">Amazon.ca*Z913U16T1 AMAZON.CA ON </t>
  </si>
  <si>
    <t>44c7f924119f6018604f538f1f3ad4334922fc884582fea19c997d77791c331f</t>
  </si>
  <si>
    <t>d2be768ffa61c00df92430855adeff97a6075de43afd1787186518255f84f667</t>
  </si>
  <si>
    <t xml:space="preserve">COLES 148 NORTH BAY ON </t>
  </si>
  <si>
    <t>8bf5635d8ad910f24e64304aaf695118089a7755decf5e3aa184a187b508e509</t>
  </si>
  <si>
    <t xml:space="preserve">KOODO WEBSTORE 9871 SCARBOROUGH ON </t>
  </si>
  <si>
    <t>e3f48e5c7b9f4328b104dd50737f05b1480d40a11723b8f35bfbc5abaa7823e6</t>
  </si>
  <si>
    <t>ab90dc2619f725e716043201c3ab66a9667fe75e9cc393acacd2377e3be16a6f</t>
  </si>
  <si>
    <t xml:space="preserve">WWW TRF DDA - 5538 </t>
  </si>
  <si>
    <t>c59b2a25b93f62c7ac6dba72af112c6c6bda82d850d7bc0452c0f0741aee7fd4</t>
  </si>
  <si>
    <t>acfdb1d9d223350d2b4055b5f246d322d655fdc9a85d7f8aacfb6d1bf76c6ac5</t>
  </si>
  <si>
    <t>b65b0b9922f3505b215e09ae3dbb08fb73930ca97c8530efbcd786ef59f0cc69</t>
  </si>
  <si>
    <t xml:space="preserve">WWW TRF DDA - 1228 </t>
  </si>
  <si>
    <t>1ff8d7596c91158f27f106d16357afdd47625cf5e22d3c6c7d2d4d8cd23e1a49</t>
  </si>
  <si>
    <t xml:space="preserve">Amazon.ca*ZP80P98T2 AMAZON.CA ON </t>
  </si>
  <si>
    <t>52f764e2953b009349434a5064a36ed65a490eb582f0cfbb2d9f7494761c6402</t>
  </si>
  <si>
    <t xml:space="preserve">Amazon.ca*ZE80J8BZ1 AMAZON.CA ON </t>
  </si>
  <si>
    <t>ced83535f1051be0e27ff19aeae2ee564f330aace091195bf66925b714ddb29d</t>
  </si>
  <si>
    <t>cad17afb1e7930d7baa417afae8dac56e585b4afaa730373bb9a43d440336f29</t>
  </si>
  <si>
    <t>a77b1ca6e17616bed8bc38448ee56892d118e73bdc178bd90e02b1a3b5dc158d</t>
  </si>
  <si>
    <t>593bd415c3276d4820105a20fa5f1d8519664c4db1de808e0a789b71df96bae8</t>
  </si>
  <si>
    <t xml:space="preserve">Transfer WWW TRANSFER - 0718 </t>
  </si>
  <si>
    <t>eda7d0e44d592c2d2c01b0c86482ba940ecabc09f5846f564add3f33809cb179</t>
  </si>
  <si>
    <t>62800d9b75edc626f29a6db99a33a49d7ccf2ddf5450da5e3a2bf7d33af38104</t>
  </si>
  <si>
    <t xml:space="preserve">WWW TRF DDA - 5248 </t>
  </si>
  <si>
    <t>83d13bd789965453c5956c8eb61e0736b3245e836ed0bf7f12aff56e14578255</t>
  </si>
  <si>
    <t xml:space="preserve">Transfer WWW TRANSFER - 5248 </t>
  </si>
  <si>
    <t>891d95e01251129491ed82a9701f87dfcd874094781a5c4822199c91602d9433</t>
  </si>
  <si>
    <t xml:space="preserve">WWW TRF DDA - 0330 </t>
  </si>
  <si>
    <t>af497c7c3fd12cf553c6c889f473fde77cafbc5e91e373d8d3dd05b702bc4eed</t>
  </si>
  <si>
    <t xml:space="preserve">WWW TRF DDA - 2463 </t>
  </si>
  <si>
    <t>f3060130c03b37094c969123ee7b0c51f23dc2dd38cd93b2663be5a54810781f</t>
  </si>
  <si>
    <t xml:space="preserve">WWW TRF DDA - 7986 </t>
  </si>
  <si>
    <t>10b229639a9f7f4279c47538e9d46485bc4f5ddb76604610bc3cabe58e1cf0d8</t>
  </si>
  <si>
    <t xml:space="preserve">WWW TRF DDA - 9753 </t>
  </si>
  <si>
    <t>546beaa2b0ef6fe482c5e885dab0542c5e00eafa3b249c56a6c023d4427620d6</t>
  </si>
  <si>
    <t xml:space="preserve">Transfer WWW TRANSFER - 7178 </t>
  </si>
  <si>
    <t>fab0fd22307f80b0aeda345cac567cefb919a1cb655bbab09ad8a92deb65403b</t>
  </si>
  <si>
    <t xml:space="preserve">WWW TRF DDA - 7178 </t>
  </si>
  <si>
    <t>b850dc06b4a773be8a2b9a6a8a8d91db55e670202f354d18d9bce4b113cbfea6</t>
  </si>
  <si>
    <t>e7f86da564b50ff284b9a0a85891bfb72609b5e57e9c9967bfb0db9f45277107</t>
  </si>
  <si>
    <t xml:space="preserve">WWW TRF DDA - 8524 </t>
  </si>
  <si>
    <t>eff7ce39e7cc8d0495c1b1b93bb3a1a379a7c9dca14dd343f0ced02cea5cf2e8</t>
  </si>
  <si>
    <t>ea1a4f0b096eb57a26afb6b0339c08e40e90921dd59b442cd6a8816dab55c404</t>
  </si>
  <si>
    <t>a73d934f7611a4bdee316b0048ddb960b4f929c1a51ec6d5c72449b4969d3a2b</t>
  </si>
  <si>
    <t>806e0825e227d4e795bcc943704b6777f104da4f5ea3d978dc01974fa380e6af</t>
  </si>
  <si>
    <t xml:space="preserve">INT E-TRF FEE </t>
  </si>
  <si>
    <t>2c20a9b85040dfb90c8e723b07545a88eeb700e34eef6d27969669964dd48935</t>
  </si>
  <si>
    <t>972b37db97f41812796e625a915a62b0876c5bf7b575917b14aa91e6ef65b5bb</t>
  </si>
  <si>
    <t xml:space="preserve">SERVICE FEE 2EPMT/WD/TFR@$5.00 </t>
  </si>
  <si>
    <t>f97aff0a6827f617251460383d2b6b91cec602c852b753041dea9042167f8095</t>
  </si>
  <si>
    <t>ad2ffc4525c34bd8d5a6441d22d3dad7730c73125082b538659704b5fdcec1b9</t>
  </si>
  <si>
    <t>f6bf852de17c581c7f4171f136ad13992114bb6ed4ae739bccb7dc40f2a3d1b8</t>
  </si>
  <si>
    <t>7fe2e449a0b1b236b6148a2069795d9d492900dcbc76e675ca7f859542863a5d</t>
  </si>
  <si>
    <t>052061f645fb6e3c4a7448a7fe72996948acb0426902e2e99d974e5ac3ccf4cc</t>
  </si>
  <si>
    <t>0d1a8fd676a659841d139a2492e8d822ecf79e0f44c08ef8f59aabeb07b33489</t>
  </si>
  <si>
    <t xml:space="preserve">Transfer WWW TRANSFER - 2531 </t>
  </si>
  <si>
    <t>fab67c85a1d1dc56359ddea71e134d8fdee6cef8fd34870d7c7582ef025bb834</t>
  </si>
  <si>
    <t>Payment WWW PAYMENT - 2499 NORTH BAY WAT</t>
  </si>
  <si>
    <t>02608fcec1bf14323678cc8a1fb1732dca317a7889912b40aa420c00adb725e1</t>
  </si>
  <si>
    <t>663f3395ade1accebdc2ad55fe380462997501f84c420b9ef6f27de8e3e72c85</t>
  </si>
  <si>
    <t>27676d07c121e3c1808e48ad3e35c3bbe1ecf0c7cebbbcfb8face01cb1ec4d9a</t>
  </si>
  <si>
    <t>0f6a0dce76d1d0661a92bb9d1707d92e48fbfb5f9793beec34cc5813b66800ba</t>
  </si>
  <si>
    <t>6cdccf4101e402ade978113b5521bcfe55c4aabc1b52953af7c7981bf1cdd03a</t>
  </si>
  <si>
    <t xml:space="preserve">MIND GAMES NORTHGATE SHOPNORTH BAY ON </t>
  </si>
  <si>
    <t>81e44c362da261286f929dfd67e9b03cbf19a83becc4dc2dbd84747b38f48022</t>
  </si>
  <si>
    <t>28be4b7b7c3d4d4bb47171a4117e51f46ecf1a66bfc9541b1746fe22c01cfed7</t>
  </si>
  <si>
    <t xml:space="preserve">PALMERI'S YIG 7974 GRAVENHURST ON </t>
  </si>
  <si>
    <t>5a1ace7b63aaeb0148e9615e840c29ebf5b01b440a0f63139e269e19154d33ca</t>
  </si>
  <si>
    <t>ef3f0b86b27d354c07588cde7c1bee0b14a094dcca2ea9326d7af49a52bddf5b</t>
  </si>
  <si>
    <t>f1561e69ef7e362d881fc58f770d004afe339a73adf2baec59b632d69137fe0a</t>
  </si>
  <si>
    <t>7ecb4524fa57366c40e720d78cf0a591cef058df3344fc51d26bfcabe69fcba3</t>
  </si>
  <si>
    <t>8d856bf41dc681dd1ea052d033d8bc4da6559f6801aee7ab49dc7027e9f5423b</t>
  </si>
  <si>
    <t>be3e4b8d5ba825f413d4820e14869ea19dd09bdea5dc8978061296bbd702d9ad</t>
  </si>
  <si>
    <t>778f9ea48fa1da9517da226e01740996d64b8eea802ab67ac8a9014dd470acad</t>
  </si>
  <si>
    <t>1a8b2fde1064a0c7beb683abf3b14448678397faf022b3391fe928abd99faa5c</t>
  </si>
  <si>
    <t>a65f08f957fa5af3ffd0d6b4c240de8bd01e65e27d99a502ca32dcb61c30685c</t>
  </si>
  <si>
    <t>1a4393b087ca78918ff4e569297b48266baf843061f86b3c859062493f591b6f</t>
  </si>
  <si>
    <t>f362ba4d41d2162e8b5aeb14e7c80928e7951d9f0d6b49f429b6f43f34c60b27</t>
  </si>
  <si>
    <t>f4a3399c0c282beea8257f715c717c7a0be1e92acfef5654c38ddf08c3fa81f1</t>
  </si>
  <si>
    <t>b4c5e194d6aef3cd5d3122e3f869f3f6eb7cda37eea03cbbe0a6e2cb14dc816f</t>
  </si>
  <si>
    <t xml:space="preserve">00024 MACS CONV. STORES NORTH BAY ON </t>
  </si>
  <si>
    <t>f0f5e6776058459107abbd76e7342517236438bafe57b2a57c7288d08a0b082c</t>
  </si>
  <si>
    <t xml:space="preserve">SKIPTHEDISHES WINNIPEG (BROMB </t>
  </si>
  <si>
    <t>39c0991b7b1996ce962e7fabd497cbca332237d21fbdbf23f950baaca61d68ea</t>
  </si>
  <si>
    <t>947fdc84c8a3ffba861ff57c7b553ccbaa15ade7a4aa3108b0aedc521caee693</t>
  </si>
  <si>
    <t xml:space="preserve">SHELL C22551 ARNPRIOR ON </t>
  </si>
  <si>
    <t>a87602394ec0e75435602cbe1558f7f673e51a35ee32508e00695961dace637b</t>
  </si>
  <si>
    <t xml:space="preserve">AMZN Mktp CA*Z54VE6HC1 WWW.AMAZON.CAON </t>
  </si>
  <si>
    <t>e27b5c935c446745777e8437d021fcc77ca8b3e95040df24c24c7b8e9da2a66e</t>
  </si>
  <si>
    <t>c6e91abd9be460a07922d51c822ca38b68137ac8f24a7cbb754f668f60e21ba5</t>
  </si>
  <si>
    <t>6f1104416257f890b80a7a78595c76dca29151b6d76a159d1f702b070f060ab5</t>
  </si>
  <si>
    <t>541070a0f3c751c2737d5c4173bb7a3fcc8348ca4404f039c2c18ab41d172cac</t>
  </si>
  <si>
    <t>a470232340519c3a052d2aeaba86754e69ba53f808ba5d4411ebbe9079d832da</t>
  </si>
  <si>
    <t>8114576388fda88c641c40d912ec807c8785ebe87132124f3ad11398a6f326f9</t>
  </si>
  <si>
    <t xml:space="preserve">WWW TRF DDA - 5488 </t>
  </si>
  <si>
    <t>f4db322b71ddf6f020f24684b2336ddeea7e3ead6c834c59f5782e3a65a50eed</t>
  </si>
  <si>
    <t>57acb73121d137a24e1a8af83780f8bfa4328a0d7225381d3cb41d8e12aed3a5</t>
  </si>
  <si>
    <t>9824e34f220c94e01a467a2f78c5864a979d782243dc2133cc3cccf135c1b167</t>
  </si>
  <si>
    <t>9ecb24343f116ad4f4d2953e3ae904e6a181016bbe360bc8b584196ea9089361</t>
  </si>
  <si>
    <t xml:space="preserve">CARRY ALL SUPPLIES NORTH BAY ON </t>
  </si>
  <si>
    <t>28aeeecaa860ba4c8d8b838ae5fbdefbc985378486c4ab214d7f32d0809bd416</t>
  </si>
  <si>
    <t xml:space="preserve">BOSTON PIZZA # 414 NORTH BAY ON </t>
  </si>
  <si>
    <t>84227bbc79aa682b140bcf0cda4bb9d86fcbb58ecae4d61753fe8f0e443f7287</t>
  </si>
  <si>
    <t>65c31113bbe64de29dbf36b19d540050a644f3c959f7b23ec3fb6b07a4b13a68</t>
  </si>
  <si>
    <t>41fd1b4f44c8a2783034994f06a425de6b6ff9a80c2d1b85ba475ddb502526e8</t>
  </si>
  <si>
    <t>0653d789423b2026567783f1761a220a953d5a1c2c41c60f9fcbb59f1c135074</t>
  </si>
  <si>
    <t>54c47fc66846dd0d449cbb141f71032895487627d0521ba68e4d5fc1e25e1eec</t>
  </si>
  <si>
    <t>086e242c910170c088d0ef8d39ea67c489e7f56c48fc4f6b03c43721ef7d96f3</t>
  </si>
  <si>
    <t>8ea65f9d9885e14091c9c6a6a1e31cf3bd250ea2785cec4cbe83d81fdd58f813</t>
  </si>
  <si>
    <t>63757df61165511abfcdae65a226863ae08c0201efc13fd38e26767b078bf936</t>
  </si>
  <si>
    <t>f6bc2ecda8c0b8cb08ecfb5d041c7c1c2a1569e0b64bcde22d4ab4207ba88f65</t>
  </si>
  <si>
    <t xml:space="preserve">ARDENE #216 NORTH BAY ON </t>
  </si>
  <si>
    <t>ba3c1cefd5a23e3df221762b287dd05dac0fc02910d659898be914e6f4d728c9</t>
  </si>
  <si>
    <t xml:space="preserve">SUZY SHIER 7376 NORTH BAY ON </t>
  </si>
  <si>
    <t>fa34809f23728718cf7432804ba80b53165ffb5e4c17012c40c003bde89b3424</t>
  </si>
  <si>
    <t xml:space="preserve">American Eagle 907 North Bay ON </t>
  </si>
  <si>
    <t>1a4fc1dd4109c0bf47f5cd955930fca20fb32582f0e1698f30a95c22fca4d97d</t>
  </si>
  <si>
    <t>92ebeb375ae9e7c993e52e7e97f0f909c602a5cb0290a36ecbf7da8de1c2a0a3</t>
  </si>
  <si>
    <t xml:space="preserve">Amazon.ca*ZC4VN4N00 AMAZON.CA ON </t>
  </si>
  <si>
    <t>101957817d6704a39c8b89120a0356a0745409a0fea463664fc2784d4ca3b00c</t>
  </si>
  <si>
    <t xml:space="preserve">AMZN Mktp CA*ZC19L3X40 WWW.AMAZON.CAON </t>
  </si>
  <si>
    <t>5aa4a5a14daaf0b3881071c6001860c312b117b71042d8c725b0378e4875d40e</t>
  </si>
  <si>
    <t>4447b54e015e2c8d1e4d0d41c742c65aaa3acfc333bba261e5788d9d686bfe71</t>
  </si>
  <si>
    <t>ad1d75033525ee2fce0f473638edebb1fae5f5977c0ef1fb086ef98c0e4290fd</t>
  </si>
  <si>
    <t>8b710b9c9298d527ecc4d1cfd986dc5b09ede41e50ed9d45b15d2a4a66d81ff6</t>
  </si>
  <si>
    <t>050e4553b97ed7c49cb464ce5b0cc5b457fdcc6c933f3494e27d3aef32cb3853</t>
  </si>
  <si>
    <t>6564dec99d68b8685bcbf520536076454e2c2dd21d32f04dcb1690c35a82b0f7</t>
  </si>
  <si>
    <t>43b0473ab44310a00f0527e106a9a19feaea63e3bad99bda214f958914492677</t>
  </si>
  <si>
    <t>bbcdcec551a77cbd3c8570c691b1351dfa5fd1ff58f5142fb3553b6c704656e9</t>
  </si>
  <si>
    <t>9029bd7bc7a7f959388a63c1ee562d6bd3e74c5e7636b3a23b8a04524672771e</t>
  </si>
  <si>
    <t>0da9688067e9b41186a7ce9e0d004510be8d64c12ce2419f4d489c0448dfc780</t>
  </si>
  <si>
    <t>62ddcf5cc24dd01b6c0ea5228d2df4080f065bd9640d14211d7f80d488ce808d</t>
  </si>
  <si>
    <t xml:space="preserve">WWW TRF DDA - 6914 </t>
  </si>
  <si>
    <t>63f00a7ec4274d3d00fd1c8f45bd73667bf047b2f03eb282292f029933a4c42e</t>
  </si>
  <si>
    <t xml:space="preserve">WWW TRF DDA - 7292 </t>
  </si>
  <si>
    <t>032f1b6d165e8577e169c64fb9bf70ef30e4fc8d7e574b7c322dbaf4fb2ae117</t>
  </si>
  <si>
    <t xml:space="preserve">WWW TRF DDA - 9382 </t>
  </si>
  <si>
    <t>465c0c12d6779ad6cd4ad850fa3adc9c7f20b1d9b1cff7722e97645931e1fcad</t>
  </si>
  <si>
    <t>3cb29165777fca479f7dc31ef352920dfeb47b23eb8e571b99b86c8a0eedc14a</t>
  </si>
  <si>
    <t>1e67ac2438043dce371bb8f3930c32668b0d38fed90af70de115502e65a8c846</t>
  </si>
  <si>
    <t>39167f20543dea706617417235dd8ad96b4fe024498b309e0553ab966bb4a01e</t>
  </si>
  <si>
    <t xml:space="preserve">Transfer WWW TRANSFER - 5974 </t>
  </si>
  <si>
    <t>d331e311e33a92aee4a45ba47b99253e2ba3802eeb355e6fa1548efe6216a7c6</t>
  </si>
  <si>
    <t xml:space="preserve">WWW TRF DDA - 2151 </t>
  </si>
  <si>
    <t>97ab3f27bca604571b78e9feb958fc44f079ade2daff07c3f146c8d716cd7997</t>
  </si>
  <si>
    <t xml:space="preserve">Transfer WWW TRANSFER - 2151 </t>
  </si>
  <si>
    <t>8f1c6eaacf4d3975bb661e4a1cc8b5f556db22af134220837dbe61fb31b01750</t>
  </si>
  <si>
    <t xml:space="preserve">WWW TRF DDA - 5974 </t>
  </si>
  <si>
    <t>38ba1d08469e227af657f50672279fe8fb1fe103e6ab56aff1d09b3cf8838bda</t>
  </si>
  <si>
    <t>3c73bc6a2baa765f6a2658b55fe8328dbb093f946c52b15639592099bbe0d5ce</t>
  </si>
  <si>
    <t xml:space="preserve">WWW TRF DDA - 2390 </t>
  </si>
  <si>
    <t>a1298c821fc38e470ed60a7c748aeafb807c39abf5cfe90731a00cd60e6807e8</t>
  </si>
  <si>
    <t xml:space="preserve">WWW TRF DDA - 0675 </t>
  </si>
  <si>
    <t>073141f1a42b0aabb8a48b1d00bb4ac03faee129bab15dcd9b9c44325f8e1a12</t>
  </si>
  <si>
    <t>0be507e464d46a46ee790911c51accf894196ae9a4deb0cfcb22e967859b30b7</t>
  </si>
  <si>
    <t>c87426edb99290642b3462899cc2ceef107511838c67a96bbb38b21d3d1bc620</t>
  </si>
  <si>
    <t>0419136a2458128bef49c8097828db68f3cdb67c84c1a69712a8d0e7c7188d29</t>
  </si>
  <si>
    <t>fa8595e10be74ec3beeef758f6616f340331706b08a443dcb01cd1d4ada104ca</t>
  </si>
  <si>
    <t>dff371a8775c4e8211ff1eec943a5a03c7faf9aaab3702dd58fa14471dc1422a</t>
  </si>
  <si>
    <t xml:space="preserve">FRESHCO #9762 NORTH BAY ON </t>
  </si>
  <si>
    <t xml:space="preserve">LCBO/RAO #0363 NORTH BAY ON </t>
  </si>
  <si>
    <t>7c4029a96a4bfc1371cadfca721000eb20e2aa7ac68c6461f488d14037e3d376</t>
  </si>
  <si>
    <t>b8f1165efaefa27de05637f6f1641c8324f90cce862332be81796bf4de8f2aaf</t>
  </si>
  <si>
    <t>6f83073c84af3bcaaf26161d8ca105447feec7840ad67a4625f1343f3fd34690</t>
  </si>
  <si>
    <t>c0b4847cc106a77ec3cf9132403326fa5bf01f622ef25d290a5a05bb3faaab66</t>
  </si>
  <si>
    <t>9b018617217033f146b5462599da5c981f37bc8f15c31ba49832a51539d440c2</t>
  </si>
  <si>
    <t>Payment WWW PAYMENT - 2102 NORTH BAY WAT</t>
  </si>
  <si>
    <t>7d8fa63aaf2f6013141f3797b46f730959a54155c262f87d5fd86e785c8ab6cc</t>
  </si>
  <si>
    <t>684c4fd2f70b0bd0e6a9183ca3bef4f091f320ecf3bc24f4e325fa1c705eae17</t>
  </si>
  <si>
    <t>0793d29eb335d1f613f882235a321a30de5ba4b8ef64f4aeb4255151abbb7539</t>
  </si>
  <si>
    <t xml:space="preserve">Transfer WWW TRANSFER - 7846 </t>
  </si>
  <si>
    <t>1a02567de6910b1a86579e52928c0935b09093530778347c2866121d3cb404ad</t>
  </si>
  <si>
    <t>e12ca54a1f52e8afa30abd24146af25fd6e684214cf2efdad9cc38ec9e4e43af</t>
  </si>
  <si>
    <t xml:space="preserve">WWW TRF DDA - 0400 </t>
  </si>
  <si>
    <t>transfer to mel for gma bday</t>
  </si>
  <si>
    <t>991b42e9f2df77cfa8a849ad2e624f590c7f7bf71b76d0621f4ee3f98175b793</t>
  </si>
  <si>
    <t>1b98ba24a04e09049ea087dc4cd6cb79bee95ad2394b020d6fb51dc42bc01560</t>
  </si>
  <si>
    <t>8de73ab8d4eb3aaba2adfb6bb3a0d50a3515c1b9f7c8619038e9d0db2fbae156</t>
  </si>
  <si>
    <t>fd82b98e188cbd4f20d71b6171918b90f7f6b9d2ac5d03b115117a6c74d8a889</t>
  </si>
  <si>
    <t>b865224126dbee7db2be74ce42639da335d29c4808f54a178160b1355516f2ff</t>
  </si>
  <si>
    <t>24e9c9e84f8fc68b2ad6b9fecab90f30a960594cfa41fd983ee8a0aee6c61579</t>
  </si>
  <si>
    <t>65ad12a79c48457f0cf6c4b4a93226e183a466ded96a30a3c7616b60ec346952</t>
  </si>
  <si>
    <t xml:space="preserve">01276 MACS CONV. STORES NORTH BAY ON </t>
  </si>
  <si>
    <t>0817c39abb8d05f34cef07a06991fbd2bb651caa799bb374f4d262deacab3df2</t>
  </si>
  <si>
    <t>4a5d87d6e100434a072da55fdc1255a7c05b341ee2fd1511f7a8c42dd8713f6c</t>
  </si>
  <si>
    <t>00ba9ef7166342c9bfbea4ea68b90c5cd4cfa7d5e2e0f66f05b5184f8facbdff</t>
  </si>
  <si>
    <t>3b9e386c3827dbc178963eba7536a59ffe39e7c8debb0eedbdeb0d9f7da70a8a</t>
  </si>
  <si>
    <t>07f6e1f2f83b70256df3585da3b48d0486842a6e0d0c293f61592490a148d938</t>
  </si>
  <si>
    <t>5f06bf8395ebfe0ad3e79733762956e8c0f964ff7b75808ecaa15f9f9200d5d2</t>
  </si>
  <si>
    <t>41df84027d41cfec31ad8066476991f2bbf2ec41e63eeb7569beb69e15545f93</t>
  </si>
  <si>
    <t>c9642b8c30ec13df8a907c4e42ed5a1729d32fdda3637376264f12c6027c2401</t>
  </si>
  <si>
    <t>648781fa12cd7052f8a4ab787fd32e953ba2f37f280287917783a2b680f0ecba</t>
  </si>
  <si>
    <t>85efa7cbb4eb7c4d488968646aa032e58c297be9bc6b67e596458ad30fd24d3d</t>
  </si>
  <si>
    <t xml:space="preserve">BETWEEN THE BUN NORTH BAY ON </t>
  </si>
  <si>
    <t>507c8f12d504815f04db78381011a23bc342f1da3378ff296e928ee2a6d4b33e</t>
  </si>
  <si>
    <t xml:space="preserve">AMZN Mktp CA*OI8IN16A3 WWW.AMAZON.CAON </t>
  </si>
  <si>
    <t>da2a28f4ecee221920d922533c737e8d8e677673b8edaf33ef40ae5fc823b8dd</t>
  </si>
  <si>
    <t>489497044c21f5d300fc6c445e43ba3dea052f9c3dcfd724fc4ac04a37f1fb53</t>
  </si>
  <si>
    <t>6eee251cb9948f2130dd2842a8de7de69c885af0b8ec3a2a53f6d812e517ae8b</t>
  </si>
  <si>
    <t xml:space="preserve">AMZN Mktp CA*T38I28BT3 WWW.AMAZON.CAON </t>
  </si>
  <si>
    <t>b81509c0e222d379b839113009e9d3c1b0644e49446c90d38a434e6ba2a9c079</t>
  </si>
  <si>
    <t xml:space="preserve">Amazon.ca*FQ3N78CB3 AMAZON.CA ON </t>
  </si>
  <si>
    <t>a0dbd5f603029b7f37c5465704baebba1091e0cfd130ff286491fbd2ee741fa0</t>
  </si>
  <si>
    <t>68abcf1c06f7d88addd15308b313b039496779cb21d201b677088a86aa8f08c2</t>
  </si>
  <si>
    <t>b33d9d8b8e7694f367883ca761ab6806f6f3c5047f4186be9c65cc412af1f929</t>
  </si>
  <si>
    <t>e5fe704feda6db444d87945b7b7b52130bc5a4ca268b17a799fda20faf023831</t>
  </si>
  <si>
    <t>c95766ff9f698dd2ce133f97173f8d1f3d19884f2f3cad88f038d5d9f6bc2c20</t>
  </si>
  <si>
    <t xml:space="preserve">DOLLAR TREE # 40216 NORTH BAY ON </t>
  </si>
  <si>
    <t>33b0ea8086d9c204bafa3910fad0e05db916645b7c36f1995f74d5b88c3acc41</t>
  </si>
  <si>
    <t>0415bc721b7919cacd27801d3bc4ab6df8fb1224866f14f74a0d0c56e4e12855</t>
  </si>
  <si>
    <t>5aa781e9359a8019c881ac351d38818141169c9eb985306253d45dcce30090c4</t>
  </si>
  <si>
    <t>1704ba8b1a63e01823085b274bb8a60ca092396403f171769fb77970206c6eb9</t>
  </si>
  <si>
    <t>eeff3964bdfa5e01325dad5711fcc4f6ed969b0086939ae2d3c2c5b72534d9ac</t>
  </si>
  <si>
    <t xml:space="preserve">AIRPORT ANIMAL HOSPITA NORTH BAY ON </t>
  </si>
  <si>
    <t>33c088f3ea6ebb352799a611c16de54b1ff056ca7c91ad709e5724da4f1db4dd</t>
  </si>
  <si>
    <t>cce9484dc0c8a8b72470806325cafdc2d8fe3e617280bb18953db1952e2fc47e</t>
  </si>
  <si>
    <t>1f404d3dc2cdc0ba8db1a98ef8f8261f1abbf6fca92034ba14adb2fb281789a6</t>
  </si>
  <si>
    <t>9cd1d4429a2eae1023f70179a46a2a649da153dded3af4e0e7ef2e24f9313a7a</t>
  </si>
  <si>
    <t>0c82651a37d7df488bb3eda275d9782ea83d918c878e780af53d98e2f31ac633</t>
  </si>
  <si>
    <t>ae30a95280c93dd297ebefddeb1fa27a0bcdbe183526425a05b97fa614e5fab9</t>
  </si>
  <si>
    <t xml:space="preserve">STAPLES STORE #90 NORTH BAY ON </t>
  </si>
  <si>
    <t>443da35fe95c2040dc7c0feb977f05427e677ca5954ee2b5fa7e12ca18fe78b1</t>
  </si>
  <si>
    <t>514a1f29b0bcb1bfc80efb4775b0960e5d22a22b8f16c8bc0761fcea9ca387da</t>
  </si>
  <si>
    <t>1e3a4107819a2dcbca3408c7e2966ca0e49635d017ba52237092c9a78f4b4c34</t>
  </si>
  <si>
    <t>399615ee1308b343988414a97b9b7084d94fbae3480c6fa29a143a27d71536f0</t>
  </si>
  <si>
    <t xml:space="preserve">LCBO/RAO #0130 BRACEBRIDGE ON </t>
  </si>
  <si>
    <t>4a8b15e740848b37abd2a11201fa52e613e0909526e3f51caeb4ec50f503778f</t>
  </si>
  <si>
    <t xml:space="preserve">SHELL C81362 BRACEBRIDGE ON </t>
  </si>
  <si>
    <t>a8ce13d050434453cda2c59c67385517276e3ad1354a3be363d126bd71842a8c</t>
  </si>
  <si>
    <t>44fa3da34bea452f6c1d538f53982f582607fe1e8528cb247710526a601dac55</t>
  </si>
  <si>
    <t>06bf932bd29e787c9273b44f8fa4cb5710728462793d3bd7065fe758f14d8998</t>
  </si>
  <si>
    <t>bd3a2fc96ede55645755b3d3a9a60d0e7eea23ecda522fa9dc4708bd2740a873</t>
  </si>
  <si>
    <t xml:space="preserve">WWW TRF DDA - 0985 </t>
  </si>
  <si>
    <t>adc336b0270d0fa7ad1cf6b9499795023123499ba30a635c7e949cefa033f50f</t>
  </si>
  <si>
    <t xml:space="preserve">Transfer WWW TRANSFER - 0985 </t>
  </si>
  <si>
    <t>b79427c010df92ceb0c1e240e0738a38bd11693c97f584b5d1d9c25f8bb49f15</t>
  </si>
  <si>
    <t xml:space="preserve">WWW TRF DDA - 8437 </t>
  </si>
  <si>
    <t>571d0694c2bb98b1e0a3a17c00560e878cafcf17c30f5ff52d5c8d06eaf2849c</t>
  </si>
  <si>
    <t xml:space="preserve">WWW TRF DDA - 0986 </t>
  </si>
  <si>
    <t>889e955acc3d66379b511f634f0ad691f951ff2f541b1bad738baade8c53ba98</t>
  </si>
  <si>
    <t xml:space="preserve">LONG &amp; MCQUADE NORTH BAY ON </t>
  </si>
  <si>
    <t>e26eda83a67cc80757f8b1dfb7c2a654ae2a86ed195ee85d1581615671c165dd</t>
  </si>
  <si>
    <t>b9843c0302b1c751214f70c5e1b3a7d01cc37240eca519774c719e5f7c379a3c</t>
  </si>
  <si>
    <t>91423347413fdad20267002a5c136b61f230e07ae665dbb673519f88d62b15aa</t>
  </si>
  <si>
    <t>6dc79b93f562963f4ac436d777f8fb5f8ab0569a8fa3c23b2185678f8231d553</t>
  </si>
  <si>
    <t>206b0fbe406494f50234b89c19da7499a648659d2b1932650eb8b8f75b76cf58</t>
  </si>
  <si>
    <t xml:space="preserve">CASH WITHDRAWAL BR TO BR - 3452 </t>
  </si>
  <si>
    <t>fdc9bde6aed57780229ff4944d284f617608177e7572ef2bb6146dbd9aef611f</t>
  </si>
  <si>
    <t>8310658c26d9cdae2f3aa38a06536f8eec07cf18d454310eee720b4205dfe75d</t>
  </si>
  <si>
    <t>afc97b8dae9341b301ddb33f548e79e525810154079a30f8b49452f99079ae2e</t>
  </si>
  <si>
    <t>37de9a071d70f8aa8bceb7c47c050540eb24b05376c86bf235e2a6aebbc2cba2</t>
  </si>
  <si>
    <t xml:space="preserve">WENDY'S 6460 MCKEOWN OLM NORTH BAY ON </t>
  </si>
  <si>
    <t>23982702ce6fd211c2b64f9ac2eb793eb2f97197a745a3e5ea11450f4d809f01</t>
  </si>
  <si>
    <t>3538561ecfbaa52a2f24295b62a3a03b89734a20a48ef5457e4c0358fd1acbc8</t>
  </si>
  <si>
    <t>d99b6932a69dc5efaf0ffe11eea9703603478e12fda49aec42dd087fe34d1df7</t>
  </si>
  <si>
    <t xml:space="preserve">WINNERS 303 NORTH BAY ON </t>
  </si>
  <si>
    <t>3424f4bc79cb0bf72a6334356359a850feb9e2b53533bd785ad056134212e877</t>
  </si>
  <si>
    <t xml:space="preserve">WWW TRF DDA - 1258 </t>
  </si>
  <si>
    <t>c0808cbfb549a07fecf9a3ae31afdd85824f5c49711cadd4da5eaee21837cf49</t>
  </si>
  <si>
    <t xml:space="preserve">JACK ASTOR'S AIRPORT ETOBICOKE ON </t>
  </si>
  <si>
    <t>25c7e298b6e5b0fab45c44a55003e8498ca94eae26fda0c0ee101106d2cc45b4</t>
  </si>
  <si>
    <t xml:space="preserve">TIM HORTONS #3330 BURKS FALLS ON </t>
  </si>
  <si>
    <t>c3f3d092d9d345f6352600c2bdca1bb6b9029046ec2380f0782394c7888e447b</t>
  </si>
  <si>
    <t xml:space="preserve">TIM HORTONS #1795#QTH MISSISSAUGA ON </t>
  </si>
  <si>
    <t>9ff67c7e98d520e9ea651220e1bacebb6eba3f30d541c514161fe1bbaf477b18</t>
  </si>
  <si>
    <t>55f2044fe51fe6f68baca1bd34e989a0ef84857be27d711aa71bdb587e446555</t>
  </si>
  <si>
    <t>e23515a553bf0655702dfda8fa68d3948ab7fbbb453ad3506f5150b3340668f7</t>
  </si>
  <si>
    <t>33dfcd1b082ed22767422b308483bd45854a0479ce7fbc0dc0dca91880dc369f</t>
  </si>
  <si>
    <t>b586953850639943b8c1b251dc96f1c590614b6390f1b078f1ec3e25b72e540c</t>
  </si>
  <si>
    <t>9f768cc9885bd2e6ec8c4def4c38a1b9e4943dbc8f057aac087a2ea0a93a16f4</t>
  </si>
  <si>
    <t>DUFRY AEROP GREG LUPERON SOSUA 82.00 USD @ 1.481300000000</t>
  </si>
  <si>
    <t>d028425ee828fd8e22ccdf14d8f230709a48e9fae96ed3502864e1718434c559</t>
  </si>
  <si>
    <t xml:space="preserve">PARK'N FLY TORONTO SEL TORONTO ON </t>
  </si>
  <si>
    <t>1d2d7e4f2e01b8e21421e3dfc6b02e5a9930aa62384d15577708193b01a67211</t>
  </si>
  <si>
    <t>63045c163122cac061755bdaf8931a7dcb900e6d33566923b1580f90e7e4e8f9</t>
  </si>
  <si>
    <t>Andrea's wedding accrual</t>
  </si>
  <si>
    <t>2ebc429e485c74d064e755fec5a5b4f8129b7943c62101ce5e5c1001dea6059b</t>
  </si>
  <si>
    <t xml:space="preserve">BR TO BR - 3452 </t>
  </si>
  <si>
    <t>36df01e8234b9e069160391161fa8ae8e60f16a52a5f295a2b63cc593a95ddd9</t>
  </si>
  <si>
    <t>430af5b0961209d5893df8e6626ee73c7a9caa5b67561931de087e54994bdf92</t>
  </si>
  <si>
    <t>Payment WWW PAYMENT - 2694 NORTH BAY WAT</t>
  </si>
  <si>
    <t>52ea404588b011f77468146ecd682096bac16a7e97d71abfaa6f71e8c9003997</t>
  </si>
  <si>
    <t>e0493ce236d1a9e875f2d7188e4c2f1db668085ff6b82e1e89336e147fa4cc11</t>
  </si>
  <si>
    <t>473c0ee20c82680a31d7495aa8cb9ed442ea692cefa5b6700c12fe5113adc409</t>
  </si>
  <si>
    <t>78b8c85be7adcc9b90bbe0c538145faf3cd6190b8f293ce81ec6b05478ebb3b0</t>
  </si>
  <si>
    <t>Kitchen sink, facet &amp; countertop acrual</t>
  </si>
  <si>
    <t>82871301d8646401c99d4576f48151062b313921955e728691c973bd5f841712</t>
  </si>
  <si>
    <t>4ebfc8a4af5a8311d5fa2417b8001780aa5ec28f59e9396c9914ec5bb518091e</t>
  </si>
  <si>
    <t xml:space="preserve">Transfer WWW TRANSFER - 8437 </t>
  </si>
  <si>
    <t>50af7c1df7fbea31282f83fb55b938bda7fc4f1c8598f4b5a6525b410870e468</t>
  </si>
  <si>
    <t>803ac4201f5d082b3eed915d13e5b849fe1a4f0ec4e51a1fadda82c12ce2d622</t>
  </si>
  <si>
    <t>dd15031babfd585e57c4f12ef74d6679204977da45d53b53357ff70e888af800</t>
  </si>
  <si>
    <t>8afe772b2cafdc922f84c2f4106c29bb1ff1b980949c4ade6131f189b5560333</t>
  </si>
  <si>
    <t>d8f3a987a017fe83273347eefe5ce7b232c5dd59e626f8cfcde2ddd58778bd38</t>
  </si>
  <si>
    <t>10aa7d976f85b97c9de6c4280e2764c1927f6615207d8ebf043c29673c81cabe</t>
  </si>
  <si>
    <t xml:space="preserve">Amazon.ca*WD4777633 AMAZON.CA ON </t>
  </si>
  <si>
    <t>fae6955c6122777b23aa7f4513da750fee7ffa3123a90f1ef741eadd1766378e</t>
  </si>
  <si>
    <t>1380251e3829bfd4fb25554db79492eb028ca59607a86c00ed59656a32aa916c</t>
  </si>
  <si>
    <t>f8b55e0cf4625a886aabc9fc1c4f7a54d14e1a89c65038b58ce41616726698b3</t>
  </si>
  <si>
    <t xml:space="preserve">AMZN Mktp CA*XZ7412GP3 WWW.AMAZON.CAON </t>
  </si>
  <si>
    <t>18623b9436a01128ba589f0b15b09e566808cedc9a344f2e8ad5d01038611964</t>
  </si>
  <si>
    <t>73530ce774a1384872bbeb01ac9d90e6f6061a5f0362de96ae12dca6989ed60f</t>
  </si>
  <si>
    <t>361435cc0be4803e39f298f9465946c48fef925e5de8c3b4de19efd5f0cc9ba3</t>
  </si>
  <si>
    <t>b97b3ea352f34e8b34b9736cf4435b0aad2e6499a5a9ab5d87b3f724a0f9513c</t>
  </si>
  <si>
    <t>5e0b74fea4a5f27affb062003610196525633f6a525e5ef50e63d161d5f18c06</t>
  </si>
  <si>
    <t>0defb4ef7c7dd7e34585635cc422d6654592caede672b3b5a57f1e713aebc290</t>
  </si>
  <si>
    <t>333e20b4ed9f0f57adc06ff1556b7c6704721546521bbad2d562613ffd77306b</t>
  </si>
  <si>
    <t xml:space="preserve">AMZN Mktp CA*WL37N0VQ3 WWW.AMAZON.CAON </t>
  </si>
  <si>
    <t>8c6b939d20ce6169a042126ae0586e7e467fb5c07a1499a2817bb19f51c28f7c</t>
  </si>
  <si>
    <t xml:space="preserve">Amazon.ca*KL89N2DM3 AMAZON.CA ON </t>
  </si>
  <si>
    <t>04a67980e219555e0ae9743ad2e09663a258bde3ff721c087a0f9d3cc3d8e108</t>
  </si>
  <si>
    <t>ab0fe8189209b4798cead5a8964f65b2cfcc7458581a0e76ad6e5e93b9a45636</t>
  </si>
  <si>
    <t>fdbddd2dc8a93eeb19e1922475861580800193260b8d8c7e6e3ae60c80b79ae0</t>
  </si>
  <si>
    <t>ddcd88b5109835619dde696bb3fc9dc29d053942fb701a1832d9a884e2d837cf</t>
  </si>
  <si>
    <t xml:space="preserve">AMZN Mktp CA*XL6AO99J3 WWW.AMAZON.CAON </t>
  </si>
  <si>
    <t>e6364120807bf1e2aa3c39a66b901fc4cb7d460f23553acfa1930fb1f36d91f4</t>
  </si>
  <si>
    <t>95347a934062c4806073caa979c9271f9a55d0d6bae65211b7d476e50b99d9bf</t>
  </si>
  <si>
    <t>6f2d46d6e64ec79d2bbeab8dafe6e823821d32cb3f0840c3d2774d803f9abbe2</t>
  </si>
  <si>
    <t>a790fd6e2fa448e08a129b584c221de0012d8ba68fa8f63398e7998fe22d4871</t>
  </si>
  <si>
    <t>3a36e0dbf0d73a03a60c360975f3726bf755d411c1488a9c3cde9d5db9d73203</t>
  </si>
  <si>
    <t>d9d33194c946c6bbbf12ec4c6a1e173e49f685f88ad0ba1393f6686845017fcb</t>
  </si>
  <si>
    <t>d4d06af52e37d42a471d7bbae7c57bacf5af41a01c32904194330bf9abe37b37</t>
  </si>
  <si>
    <t>b14653044e61ab1a9967e6871f71df75610f2eaf16214be83a2e2ec13034dfb7</t>
  </si>
  <si>
    <t xml:space="preserve">RED SWAN PIZZA NORTH BAY ON </t>
  </si>
  <si>
    <t>e36d85bc15b4c0d00951d3274ab095f8df640285287cf523241af47b7ec0e4b9</t>
  </si>
  <si>
    <t>f938e2f4bf18af63be5fa89539fb330f29357365a68848f4130e7bdfd9f9888d</t>
  </si>
  <si>
    <t>4b3dcb7c1a145d44a62d97e6333b413d2e25a3877671111eb4da0d0d594e6cd6</t>
  </si>
  <si>
    <t>ca4350be8236f27b660f2db663812987e68df481de5e436a815c85ccde2ab7c5</t>
  </si>
  <si>
    <t>169c1b3891e045b9f4ba4ba1058add53ca7e50a1c690a13339fc412e96e17437</t>
  </si>
  <si>
    <t xml:space="preserve">WWW TRF DDA - 4357 </t>
  </si>
  <si>
    <t>e40f046e79242e947c933f40b7606b1058b91ec94f1b0a429c8892b041b187c9</t>
  </si>
  <si>
    <t xml:space="preserve">Transfer WWW TRANSFER - 4357 </t>
  </si>
  <si>
    <t>831f6c302288102687b0cdc74beb06c175d2ff14589712cf1f042d8d0dd061c2</t>
  </si>
  <si>
    <t>8c9cdb8864bc597d1230dc930b17c94a45d7aa44c8196b4bcb3dd084cd42f259</t>
  </si>
  <si>
    <t>c1c9bb509b8e20b6cc711c7be4e2ef6fe4bef62c15288becb0043cd4cc29c5f6</t>
  </si>
  <si>
    <t>ffa5d82be6a82d153b017b8527ee1b5aa3f07c0b7024b63a449039ad82543341</t>
  </si>
  <si>
    <t xml:space="preserve">WWW TRF DDA - 1993 </t>
  </si>
  <si>
    <t>e9b84d602ca5af24545cbaaee9169efe4ed3a0a3c525dd892c8783f5315b1ccb</t>
  </si>
  <si>
    <t xml:space="preserve">WWW TRF DDA - 4358 </t>
  </si>
  <si>
    <t>7a3377417cc4f4fe66da6bf0ff0523b1c82428c691216391e43ff4e80f67b71d</t>
  </si>
  <si>
    <t xml:space="preserve">FRONTGATE TICKETS/ALLY TORONTO ON </t>
  </si>
  <si>
    <t>f1eceae420786e5cf09bc5a42d4ff0cb2aba969fe18810735c3d79bdd9228c29</t>
  </si>
  <si>
    <t xml:space="preserve">NEWEGG CANADA INC RICHMOND HILLON </t>
  </si>
  <si>
    <t>6d4b42079570f82a60b3e662cc9606a9c34d1cb11d68801de29cc303c78f7ff1</t>
  </si>
  <si>
    <t xml:space="preserve">Transfer WWW TRANSFER - 2790 </t>
  </si>
  <si>
    <t>888af2b9cc41e23d6a8ba8747ccc9ec8d49063bf0d4593b821e63e8eafc7c22e</t>
  </si>
  <si>
    <t xml:space="preserve">WWW TRF DDA - 2790 </t>
  </si>
  <si>
    <t>2d71dcf2dd6ac8b34623a723d2a5bfce8381172740da4f72b89dac1e21183a22</t>
  </si>
  <si>
    <t xml:space="preserve">EVENTBRITE/SINBINCOMED SAINT JOHN NB </t>
  </si>
  <si>
    <t>3df78525553a8327c1583165a4bc44e7f49c12214fab890535ed3862dce3287e</t>
  </si>
  <si>
    <t xml:space="preserve">WWW TRF DDA - 7315 </t>
  </si>
  <si>
    <t>73019b6950087f3b2243ddac1a6fa81a8697b7063c61b328e2c94bc70d03fe61</t>
  </si>
  <si>
    <t xml:space="preserve">WWW TRF DDA - 1053 </t>
  </si>
  <si>
    <t>f8c6a2dac1ceb0a32b53a39502028dfc313e3caa9120274167a05ccf7a25b3c9</t>
  </si>
  <si>
    <t>3e6ed0e778a53b060eb19b81e31135bc37a07eb9b6f0db8cb1a16c87e6e1d8e8</t>
  </si>
  <si>
    <t>a39340f7449577f1cda10cedd847f59588f582c690e4b62ba687cd043c402808</t>
  </si>
  <si>
    <t>51ed2c9a87263a90279ffa2c2c5a720a0fd1fb9a3d8104dcb010b92bcc277a67</t>
  </si>
  <si>
    <t xml:space="preserve">Amazon.ca*LJ99I8TK3 AMAZON.CA ON </t>
  </si>
  <si>
    <t>080a41f62275bb07d6772dd8d864830c19f6218435eed072514cfef1b2546a1f</t>
  </si>
  <si>
    <t xml:space="preserve">AMZN Mktp CA*9J95U72D3 WWW.AMAZON.CAON </t>
  </si>
  <si>
    <t>34957bfb3ef2484dd9166adb411252e99fbd9a6a7b804fd024cf304da515837e</t>
  </si>
  <si>
    <t xml:space="preserve">AMZN Mktp CA*G22BD2OM3 WWW.AMAZON.CAON </t>
  </si>
  <si>
    <t>7ed80b1ce607a05d8fe5ac7fe8f6e451da5cab7a9bc1d7b5cbe3cbbb806e2799</t>
  </si>
  <si>
    <t>851a82aff858ab1b6a697b90c9ee68996b1bd4b90b350142a6910058f2ca1a78</t>
  </si>
  <si>
    <t>b0decb0e94542c3fc42b22d10bb1bdac2cdafdbbb2383a2d554a9215798527e5</t>
  </si>
  <si>
    <t>6d8d0f1156513bcc1dae367dc27362edd6602584663e4962f26fe8f3605ba2a0</t>
  </si>
  <si>
    <t>1bd115917c10bfcaee08d936dad7f7bc55a019a2609650631bad01ef993a5983</t>
  </si>
  <si>
    <t>876808a2da0dd7a7e27ced89ae9d3a660e9f9744daf2d5362bad7a9535489211</t>
  </si>
  <si>
    <t xml:space="preserve">ONT NORTHLAND - ALGONGUINNORTH BAY ON </t>
  </si>
  <si>
    <t>39296f009925ea54b16a38e5377245c23ae47fef3b530ea1dd39796bbd8cf0ee</t>
  </si>
  <si>
    <t>f654b04914933eaddc4e7cd619957ba5769e1c44a1ffa3b1bc5ea7cf4f4a9229</t>
  </si>
  <si>
    <t xml:space="preserve">SUPERTRAVEL TORONTO ON </t>
  </si>
  <si>
    <t>bfd8eb4376ab7903a1a454cce1beda434f2bf371b712d14621be47f69c717309</t>
  </si>
  <si>
    <t>57a5f38fca0adbc9f588a38d172bce3c68eb6353d34486b5a1a4962869cce912</t>
  </si>
  <si>
    <t>9df0889bd44da4ce40309c4691a0644f16f72de159210cd6b4731a7d08d1f76f</t>
  </si>
  <si>
    <t xml:space="preserve">Harwood Plumbing Heating NORTH BAY ON </t>
  </si>
  <si>
    <t>9f86574bdf6f5015d37cd28fea8889efb1eeeb3c60b523446182b395ff0959c9</t>
  </si>
  <si>
    <t>Payment WWW PAYMENT - 2460 NORTH BAY WAT</t>
  </si>
  <si>
    <t>f68dd64df7fdca154a5b5d9931d10ff95346f66db913a6242decb62c7dd35d80</t>
  </si>
  <si>
    <t>156755cb59e08aac9cdaa4431a2266d19a1e309de01ec93212a622d23b46db3a</t>
  </si>
  <si>
    <t>5cd22087c160c1a8625dba5fc3892ef08656628bb76956ca2cb65723938edf8c</t>
  </si>
  <si>
    <t>0890b23f4004e303f50ecb5ed86b244c5a603dec1246d891fb0cf1cf7b3f3066</t>
  </si>
  <si>
    <t>cba20500feeae27d6a238c0ec8f6b18234d4ac27ad10ed3df8db589bdd4b01c6</t>
  </si>
  <si>
    <t>fa60ac43482db90014fcf5b09eec6689b1e62c7d71446cc2f517bad7ad1ac79a</t>
  </si>
  <si>
    <t>ef06540f187435c0884cd15888eb72d6b7ea0b2b8eedb7a826b09189695b781c</t>
  </si>
  <si>
    <t>84df8ff824ab41da7b8d36536d86c3c109042632ee4b2e65117dd1553d399427</t>
  </si>
  <si>
    <t>8f5506dff7ca57cfe44200c326bdfaabefed05ac150d12fb694e0a04deb72dd3</t>
  </si>
  <si>
    <t>mom</t>
  </si>
  <si>
    <t>ba2a5658db54069580b9f69d4941d5bfb25f60ce81837919a28bdcaea8e38c0e</t>
  </si>
  <si>
    <t>4638f20e102f97fea5401182ebfc9a4ce43cb419d089a6e30cad5d0cc5d89dec</t>
  </si>
  <si>
    <t>461b92902ccd00405a3b8b1a9d275cc2d181c93d113f4a2c2c7b7d478782006f</t>
  </si>
  <si>
    <t>015d0279f75dfd4f9d703cb1e3c5b8733d8c77353f82b5a08458dc0e0307581b</t>
  </si>
  <si>
    <t>228805d4f3d36c4b23cab884faf4b306dedecccdaf09acbb61f52b673bce246a</t>
  </si>
  <si>
    <t xml:space="preserve">AMZN Mktp CA*R74VE0DQ3 WWW.AMAZON.CAON </t>
  </si>
  <si>
    <t>a5fc90f6d085a976f20f29ef1866af581f40900130dd7f2e96602b132fdc97a3</t>
  </si>
  <si>
    <t xml:space="preserve">SHELL C05410 NORTH BAY ON </t>
  </si>
  <si>
    <t>f352a8b24a1a5467b1306b7753eb92986e9dc1fa924aaafca3e0b1dc63b61bf8</t>
  </si>
  <si>
    <t>b979d5c5b2f45063546f8a6a6946a7468b54fd72dcdeff9e765eab403fcbbe96</t>
  </si>
  <si>
    <t>783d7243de0fdcccda6fb72a233d48c214645ff720b8fd5b7faeef61fc50dbbb</t>
  </si>
  <si>
    <t>adb68b844533e7e08f3b91bd6f80ad2ca29d1e9d9c2beb6ee2bdad91d4f89dca</t>
  </si>
  <si>
    <t>f061060d10918b21a73fbae271de36f6eeb517c94fb1504862eba5f142770cd3</t>
  </si>
  <si>
    <t xml:space="preserve">KOODO MOBILE PAC EDMONTON AB </t>
  </si>
  <si>
    <t>5ef21f33b4b0a538ab9ab804715c806311aac3c2baddfe91e58254392f02c686</t>
  </si>
  <si>
    <t>0597e89292f2d38cd1d61874672b0ccc7edeb4375b347826ea67ac6cf32ea082</t>
  </si>
  <si>
    <t xml:space="preserve">AMZN Mktp CA*EB6E38QI3 WWW.AMAZON.CAON </t>
  </si>
  <si>
    <t>cb77c5b6f7fc9f113dead64fa72f5877054fa4fd2e0d3c5073048ac23f1f04ce</t>
  </si>
  <si>
    <t xml:space="preserve">ONT NORTHLAND - COCH STN COCHRANE ON </t>
  </si>
  <si>
    <t>5007f984405814a3a0f858596b2aef9f1e1b37307eb322377ec94947297541b9</t>
  </si>
  <si>
    <t>04163598e3ea288b0e190f38937e44c38fae86e2245454fa888d967ee083d690</t>
  </si>
  <si>
    <t>318d02d5174f71fac62901265206d0670191c8077fff4577c17ddfb6e9d4af8f</t>
  </si>
  <si>
    <t xml:space="preserve">WENDY'S RESTAURANT #6460 NORTH BAY ON </t>
  </si>
  <si>
    <t>bd164d3645f0def97adfff33a21f3b5d816b911233f321ecee480a03301d8f4b</t>
  </si>
  <si>
    <t>aff34f73a791a5b8a855c8bfe7d4853334f9bf78bca77417222a031675f3ee7d</t>
  </si>
  <si>
    <t>cd8bbd145f7ca917269e6f2257987714fec554ea7bbcd123f996392b1bdf32ed</t>
  </si>
  <si>
    <t>779712e9f7d84fcd563bb72cb84f5b1d534a4aaf3c6e76887bf9b5270ca8a14f</t>
  </si>
  <si>
    <t>9eab7a5a037196f5a9058bf99d8d2872fd6a0a874e73d09923f7a77317a57f07</t>
  </si>
  <si>
    <t xml:space="preserve">AMZN Mktp CA*GN66Z2LQ3 WWW.AMAZON.CAON </t>
  </si>
  <si>
    <t>a9ecbdf8ec0f702391326f08c4a2daad9dc82876a47a6671b5d8bc753201c4ba</t>
  </si>
  <si>
    <t>35b40e6702ad9286ac7841b6391cd5528a8c6f686c4c91b08b8fc0b290807ba5</t>
  </si>
  <si>
    <t>5bd6430bb7691b80aac6922076ac6cbd4b9f03df54c2eea4fea21cbf0fdec1af</t>
  </si>
  <si>
    <t xml:space="preserve">WWW TRF DDA - 8943 </t>
  </si>
  <si>
    <t>gma dresser</t>
  </si>
  <si>
    <t>e0e62de0000afbd04354bb347e3ef62cd4f90ae4f8c55132078c45cd5485a028</t>
  </si>
  <si>
    <t>d8692508e6e5d6e7bf8e35c7294abba11a12d8a13754780b03060c7752b4d10c</t>
  </si>
  <si>
    <t xml:space="preserve">CPC SCP/CU884767167CA OTTAWA ON </t>
  </si>
  <si>
    <t>27da6ce35b864b606dfc136eba34453ca0f289266a5ba06a2f9c33823e67de83</t>
  </si>
  <si>
    <t>02d13e641e091dbfc9221e54e58e6f67d5b94a36a08639faab77f3824817e923</t>
  </si>
  <si>
    <t>5223b816502a87f4260fcf1fb4be7268b696e868fa16592d6c5cadacef462525</t>
  </si>
  <si>
    <t>94bbac950984cdf128c59f9022a4da1b9906af38055eb65f7f5a796bdafe4285</t>
  </si>
  <si>
    <t xml:space="preserve">AMZN Mktp CA*N210V0I02 WWW.AMAZON.CAON </t>
  </si>
  <si>
    <t>712839f6012f8068c0b476a5823c5e35fdcafffac99e5c06ca75270ef1f3e4b5</t>
  </si>
  <si>
    <t>ae0a5532b0d742d462d14c2d4685e30b8c945963bf21ab1f7c796b48cae16eb6</t>
  </si>
  <si>
    <t>64add1aacd8d3ec73acaf2459bff519ed36df72055368566d2802adca124f71f</t>
  </si>
  <si>
    <t xml:space="preserve">SP LAPORTES NURSERY NORTH BAY ON </t>
  </si>
  <si>
    <t>b244496e50880f47b98103dc30582ea4aea6d04e6569861ce9649187e7e9f3df</t>
  </si>
  <si>
    <t xml:space="preserve">EAST SIDE MARIOS NORTH BAY ON </t>
  </si>
  <si>
    <t>f6ed996b1dc4891e8e8e9810127abc961dec88dd6d383698ac20a396c817fde2</t>
  </si>
  <si>
    <t>38cb7a31916a17d7545b21425cf2f3785edf2f5b6ef5f3c25b4a5906a63ec6fb</t>
  </si>
  <si>
    <t>2abb4cc917b408eab932f700355a24d198a0fb6c7a6a1bb1325e3cdf7f7d1309</t>
  </si>
  <si>
    <t>bada536d19b49f457012bcd1841e865cc342221802e8fff2c3e750415aa98914</t>
  </si>
  <si>
    <t>1daec50768bd714e9c12687f6640f181e4bc7055e1e2db496e11a1213448fb18</t>
  </si>
  <si>
    <t>afd851fea98e849fddbd2155c878bb499deeb262cdb1f284b429cc432d9f5519</t>
  </si>
  <si>
    <t>7bc50d6c5d599858da24cde9e9960e812ed0558ab986fabbd504b20492708427</t>
  </si>
  <si>
    <t>b44b0dfe0b3087917346b038482fdb7280455de398eee575567237f072163c3c</t>
  </si>
  <si>
    <t>7f6c5f1746ab4d144877e6ddc6ddf2d31c211c5d97e4c47222d362c6b2c2be69</t>
  </si>
  <si>
    <t xml:space="preserve">KANA LEAF NORTH BAY ON </t>
  </si>
  <si>
    <t>fb5f5c7694158e1ac06892e9554348c48f10cda8bbaa994108b3f02cca9e3806</t>
  </si>
  <si>
    <t xml:space="preserve">THE BEER STORE #3540 NORTH BAY ON </t>
  </si>
  <si>
    <t>6c0587af2cd2e4a8d1150a11ec7ef7e7eaf2e8c3fdea783f492f96f93ea73e17</t>
  </si>
  <si>
    <t>b5d5b7ebaa90f3a228d31ca372252f05c5d4adc6ff8880d893300fe644767d14</t>
  </si>
  <si>
    <t>69d04d3eb0fad4a7d33c2883f9c82910a9df6575eaa34c98abe5a255df36db54</t>
  </si>
  <si>
    <t xml:space="preserve">WWW TRF DDA - 6043 </t>
  </si>
  <si>
    <t>07fe794029cef4c4fc62c8da9f5b194d131a6e671d999d3b0c284e891cf44191</t>
  </si>
  <si>
    <t xml:space="preserve">Transfer WWW TRANSFER - 6043 </t>
  </si>
  <si>
    <t>f6bef412f0da1923422af3cabbc9338a1edeed0ae2d672522ff340db72163195</t>
  </si>
  <si>
    <t xml:space="preserve">WWW TRF DDA - 2503 </t>
  </si>
  <si>
    <t>9b7eb0fc99870d31658d4ac4df6ebe43ee7089509de6305b6cf10bb3a8f2a0ea</t>
  </si>
  <si>
    <t xml:space="preserve">WWW TRF DDA - 6044 </t>
  </si>
  <si>
    <t>d35c3eddb6057adf00f3009106ca74e6a3b389ce5de7ef2630d162253a1b59c4</t>
  </si>
  <si>
    <t xml:space="preserve">ONT NORTHLAND - OBS PBX COCHRANE ON </t>
  </si>
  <si>
    <t>de980ff4f4fdec27ebf25e9e45f960badee8a63a204dbb31344f06989dad4125</t>
  </si>
  <si>
    <t xml:space="preserve">SQ *THE YELLOW BARS Cochrane ON </t>
  </si>
  <si>
    <t>63e7da6283b82d488878065586812c1efcc994e222978797d7078196e2dcf49a</t>
  </si>
  <si>
    <t xml:space="preserve">MOOSONEE #446 MOOSONEE ON </t>
  </si>
  <si>
    <t>0f9c04e235a647730643e499c57ec4abc99962ed608750e0622186c256a33816</t>
  </si>
  <si>
    <t>6fe2199e806f82506c4e8ef43bca959bb89106129c7143d82448adba2a23e783</t>
  </si>
  <si>
    <t xml:space="preserve">COCHRANE ESSO COCHRANE ON </t>
  </si>
  <si>
    <t>5ba2715662c2bf8fa8086d1903c5633353fde1ce0478cc9ece729de27eb304c7</t>
  </si>
  <si>
    <t>b7acbdbf8f6e8c00ccdc3c0b3906fc8d9cb3fbb4964b24d2defd23e5d74551a0</t>
  </si>
  <si>
    <t xml:space="preserve">WWW TRF DDA - 0174 </t>
  </si>
  <si>
    <t>6e7df47caa47fdb0278a13eedfebec2ef6fe7c8685d8575d2b59809d868b23a0</t>
  </si>
  <si>
    <t xml:space="preserve">GIANT TIGER #17 COCHRANE ON </t>
  </si>
  <si>
    <t>3ef3a241e6db5851510300d9bf1371de42ffca23bfb0363027890927ae07ebc1</t>
  </si>
  <si>
    <t>174f2fd4bbcd2f65993d04dec3e6809a7f1446b0eebbe5822ca6b6dbb5b53ee0</t>
  </si>
  <si>
    <t xml:space="preserve">POLAR BEAR HABITAT COCHRANE ON </t>
  </si>
  <si>
    <t>86dfa9333844a8e6950ff3ed23e0e8d988e4f2114ec14b5af2e7d7411598f8ec</t>
  </si>
  <si>
    <t>03e47666303b428a09862fb14d9d8bfec18743c2159c0ac7b1156bdb55f4a877</t>
  </si>
  <si>
    <t xml:space="preserve">49TH PARALLEL KITCHEN COCHRANE ON </t>
  </si>
  <si>
    <t>52468a4527be6f1e1c8a0dcbab9df50551df5319b9164913469ff039466092b3</t>
  </si>
  <si>
    <t xml:space="preserve">LCBO/RAO #0066 COCHRANE ON </t>
  </si>
  <si>
    <t>3cf024deb9f34476230a19d78db57a9dd32da8f2950bbd1b39a2c3e66bb3fef2</t>
  </si>
  <si>
    <t xml:space="preserve">SH VENDING8003620026 RICHMOND HILLON </t>
  </si>
  <si>
    <t>7ce38e68f49583b140fda0dab04e994d1faf1ded832c0a05591d58741f98db7f</t>
  </si>
  <si>
    <t xml:space="preserve">MCDONALD'S #11425 KIRKLAND LAKEON </t>
  </si>
  <si>
    <t>3877cf14e7e1c3ae8ddb1bd8b47fb1ed3a47293549a9ecfe4d766ab84c14d551</t>
  </si>
  <si>
    <t xml:space="preserve">AMZN Mktp CA*NB0FE2001 WWW.AMAZON.CAON </t>
  </si>
  <si>
    <t>267990392d7e775e4988e21c84c5feb77b04c6cd3bd52224c4bc4e4abc192697</t>
  </si>
  <si>
    <t>f896eda1decc55358f1dc88ac78616a90afaead07815e7ed971b2433ad2aade1</t>
  </si>
  <si>
    <t>7e35fff638de5f5153f28bf6d9fc442854586269f2be44d6a063da602b368e66</t>
  </si>
  <si>
    <t>45c667bbf07165fbe8a3cb5e4030a70672f15adb4d6c5878234d4bf9a2229400</t>
  </si>
  <si>
    <t>a1215d711dec746c55ac928f5ba23e94dfe115b07ad5f9d5b75473e70a7696c3</t>
  </si>
  <si>
    <t>Payment WWW PAYMENT - 3986 NORTH BAY WAT</t>
  </si>
  <si>
    <t>ee5f4b121dfd1c3ff9ae712599f86931b48105ce3e812371b84abc96b4322103</t>
  </si>
  <si>
    <t>94d8b186729ad215b7104fae37f6a01e180726cb353cffcbabc1e1b67b3679aa</t>
  </si>
  <si>
    <t>blake</t>
  </si>
  <si>
    <t>7907859161bdfb1cae755f53a46149b6e1dd33a5c3e040bdac86d8e074ab388b</t>
  </si>
  <si>
    <t>note to self: 50 transferred into chequing is for gifts</t>
  </si>
  <si>
    <t>accrual deposit for sheds</t>
  </si>
  <si>
    <t>def08e3d7aac6abba6bce565397e2c55068885d41ad13b2d59eb986af0669412</t>
  </si>
  <si>
    <t>3ead358b3e20abfa999bae6e3e202bb8b889c891c6d402362fce9f00952adc55</t>
  </si>
  <si>
    <t>b22bf309a103d8ff88dc63f17f58681d417ed94939a2b29bd9afd97ed939c11f</t>
  </si>
  <si>
    <t>b45102252a73a8d8d5fc24875d5409b61e653e7b5e9188ac59235626df3519e1</t>
  </si>
  <si>
    <t xml:space="preserve">Transfer WWW TRANSFER - 4346 </t>
  </si>
  <si>
    <t>9a4ae2bc390f9f788f1d0f74d8758f034d79aab553be6c937e8532c33210fb92</t>
  </si>
  <si>
    <t xml:space="preserve">Transfer WWW TRANSFER - 3555 </t>
  </si>
  <si>
    <t>ac6e23f7620816ea1db34f6f10aad5f9f5038467e756d0dc361e2936a2930168</t>
  </si>
  <si>
    <t xml:space="preserve">WWW TRF DDA - 4346 </t>
  </si>
  <si>
    <t>a92efed384e4713fe5f46c811e758653f56b98c52c791f0a2135c88dc970c4ec</t>
  </si>
  <si>
    <t>cd9ab5417842fce0057828a6e416af1d814c209d394deb30cf78d54446eb4738</t>
  </si>
  <si>
    <t xml:space="preserve">ATM CASH ADV/AVANCE DE FONDS -8349 </t>
  </si>
  <si>
    <t>aac0ab05034988e3374511a70e3ab8f607dfee749012380b064faaceb7217bd4</t>
  </si>
  <si>
    <t>30cfea6740266b1a0535ce7ee906437c23537b616252440a1d39ba61cc316380</t>
  </si>
  <si>
    <t>031ed6a0cfb6504c8cd3770bd724e69c6030e527dbf4cc62a19fa6c590730089</t>
  </si>
  <si>
    <t>33e40ac932577614dcb041c2c54365e1e53b33f7d5ea7127d23d212526312f14</t>
  </si>
  <si>
    <t>4189c340a837f7d2f061c2f12e907af35030141214ba9c1cc4d0a1b163fd53ba</t>
  </si>
  <si>
    <t xml:space="preserve">BRANDON &amp; ASHLEY'S NF STURGEON FALLON </t>
  </si>
  <si>
    <t>934dc0c042947898c6e408b760118c75274129ee51f27dd33a44ee9baeeb4715</t>
  </si>
  <si>
    <t>f97db54a58f652c29d7c1744cd214cf2de7f12e586f77efeb135f14762d123a4</t>
  </si>
  <si>
    <t>2ace4c9048e7b1bc45e261c8dfdcc3cf33a009c8d5477177f504af66787e4b9f</t>
  </si>
  <si>
    <t>554c2f66f76c31812c6b3b30e6a029f2ef8131836b44646ad5b2ba298914e907</t>
  </si>
  <si>
    <t xml:space="preserve">CASH ABM -SERVICE CHARGE </t>
  </si>
  <si>
    <t>200343dbaa7f46d14e7be2fdf0f2b5aecf53cb17afc408bf13a8406e88567c05</t>
  </si>
  <si>
    <t>05e1233c41118deffb9884c4a211cff03beed9c08d4fbfef3818ef277615c44d</t>
  </si>
  <si>
    <t>9fe06f6e8c865f8c4196d5046ef86ea36f6c2f212e58c411be474579e2179e3f</t>
  </si>
  <si>
    <t>0bbbf0f15d1e0fa513dc9ba0c36cffd7c8586143a8b14da5bdadf1e12a4731fc</t>
  </si>
  <si>
    <t>0160a168d24e3292b9b621f032d198c34b6514d06115d2782996722117d5b098</t>
  </si>
  <si>
    <t>efbbe478684b7d404e3518038fb37190e56babf7e9a59da1114617fd9d5c47d7</t>
  </si>
  <si>
    <t>9953e2db943da4c2bfc46b00d419c049aad2cc3e592636a4f0ad21eaeb0eec4b</t>
  </si>
  <si>
    <t xml:space="preserve">BLOOMSATHLETICS.COM RICHMOND BC </t>
  </si>
  <si>
    <t>f26421354361c0bb55abc3ac1c80f9dd0b9f1efca726a431f34c32a1244c06b5</t>
  </si>
  <si>
    <t>9c0c10e69427d4dd2463ad06c8a59644ad6724b80b2e613a5a217d84868fd954</t>
  </si>
  <si>
    <t>122f0e3a5cc858c215245d9417c95f6b69cc2180216242045748265ecf57645d</t>
  </si>
  <si>
    <t>ffc73b84a4601aadbc37dfa11d2f6979f4f7c8148ee58842bd19d85acc5fc76f</t>
  </si>
  <si>
    <t>b76184f847342fb088a618b16873c3b5b4009d1efe62ea6301577207275a3116</t>
  </si>
  <si>
    <t>137c4e0932909200288a5cc7f80fea3dbdb6d1daa8f5c927fe3d37f3cea21b27</t>
  </si>
  <si>
    <t>e479760414f86e9ba9790d3993832c273551d2e2bd390bcbe8c862facf694c37</t>
  </si>
  <si>
    <t>16fb28bd404a80699ee8413100857007acf65045d83ecebe3952a5bbb34776ba</t>
  </si>
  <si>
    <t>e74bd2004f9c6c060a17a0e4fd72bcd5855c4d34792873c7ba8a8e8dc245b6a0</t>
  </si>
  <si>
    <t>ad7790ae6c2e89ae4953460b2ba5cffa93b2f99e8afea8c0d5d22d1a8b3535bd</t>
  </si>
  <si>
    <t>aec53e9669ca23b288d68f33df5ba50dbea045cd53f0166c073beabb403ead79</t>
  </si>
  <si>
    <t>7de47731f3ac2010959ef80e61ac2f71b93fdbe397d0f92f4146ca5b408cb598</t>
  </si>
  <si>
    <t>e6bb14ca47809a0a8a089890496761c1ed446464f6ad55280df1c58f5dbf95a5</t>
  </si>
  <si>
    <t>5dde27f8a48c65e60cf9783acd5c4a0e6ba4f5e76e3a9c01c927f74a546324cd</t>
  </si>
  <si>
    <t xml:space="preserve">WWW TRF DDA - 1293 </t>
  </si>
  <si>
    <t>77cc893b0e9bdea39414bd226bbcecd3734c24ee5b9d2fb7ce7618fa6c68c540</t>
  </si>
  <si>
    <t>2e06deaae6a16ce9c47ee32f3af0e7e60ab22a5d5b300fa229ba6b857b7c322f</t>
  </si>
  <si>
    <t>163452432bf28df2821e9abd93924b041d9b1b525afdc4656b56c8891d06d16c</t>
  </si>
  <si>
    <t>fe4ec8f1a1401fb9376a9be9ed38bdd5786c2c011168a13e1d8091270d466c9e</t>
  </si>
  <si>
    <t>34a15db2090e76327d3a30453784ad25d5d7074582098f5a669daae82f2764c5</t>
  </si>
  <si>
    <t>eef8be16813054509c8772b6a8e93ff7a0894322d242afe036ce87739be7ed2e</t>
  </si>
  <si>
    <t>04594d5054482bcd0b60667141bf2e88f5c26d5dd45f7f9b98d93bef7c26da02</t>
  </si>
  <si>
    <t>e2ecc7344cf8a7c4f338d22086b5baf539141e8d5492bf4cbb4ba6c225b0fbe5</t>
  </si>
  <si>
    <t>e7a473fe6cd8ec6efdc2b071b011b7afcf85e674f72751921097f2d0e7e5fb73</t>
  </si>
  <si>
    <t>24880ebaf7b0397800081cf7f6399a6388f56e45b83a14d21e905361df33ff0a</t>
  </si>
  <si>
    <t>d1b1da3f352d402bad44d9ee141eaab7b223b8e704f67a1222c2bde97fef4b96</t>
  </si>
  <si>
    <t>e28ec8fceeb3e2595571a4ebe47544a92138571b9b4d799ed831524b330e4f20</t>
  </si>
  <si>
    <t xml:space="preserve">AMZN Mktp CA*NN9O931N2 WWW.AMAZON.CAON </t>
  </si>
  <si>
    <t>9c98d8128a4a6976521b04b7bd03c9451f669c7623190fb432b0cc806152af5e</t>
  </si>
  <si>
    <t>2594242fa6c3f2540ccf078c99f74aec5e6df485bb169a1b4ede70f2460517bf</t>
  </si>
  <si>
    <t>acf4721590006ebb960e4bf1ed6720fc8c4fed4c21b6f75c84ff50a35d5d3061</t>
  </si>
  <si>
    <t>c925d0b8dc7be900efbe5076f453cbbfd05546bac2aa2de17c62020a7939b02f</t>
  </si>
  <si>
    <t>205843962cf683e9c72c4d9215b4c6fc4516ccc5ddfa48b465404211c557104f</t>
  </si>
  <si>
    <t>60eff8018b472513dc3241f9dd3c58f013651d678af61d5b12d5521bdaf42429</t>
  </si>
  <si>
    <t>6fcf7fb29ee60048af7d94f036fc3946263f3402d8369107ac6f4b7f33157198</t>
  </si>
  <si>
    <t xml:space="preserve">CASH ADVANCE INTEREST 22.99% </t>
  </si>
  <si>
    <t>6065975e88f317ac378f503e4604d8ef7e5440ced17532bfe40caaf37819ec0e</t>
  </si>
  <si>
    <t>e2e16f843bf0fa7c57fd1463599eb387f54bd29f59aa47a570b0710ae9b6b305</t>
  </si>
  <si>
    <t>08fcfc795e636d1f5bbc242a3d9c076ac885b6436aa93e8b226c645a59c389fd</t>
  </si>
  <si>
    <t xml:space="preserve">TRUE CENTRE AUTO SERVICE NORTH BAY ON </t>
  </si>
  <si>
    <t>e373b2c29bd82065d604d372d333c504351d5d20b9a05acdfbcd99b9c9c475e8</t>
  </si>
  <si>
    <t>47954612019b4ccc9d20053a46f6f76308b02c72ac3cb178967ab824bef09836</t>
  </si>
  <si>
    <t>50425c3e6bb922175b50791ed79442049f22e1af9f70c62de1c55a9d4f248357</t>
  </si>
  <si>
    <t>9a6be1ab43b486a9e2f92078009dd72db11bc83b78708ee29795923b8e9329d2</t>
  </si>
  <si>
    <t>ecf3315e6bf965b723fd57694dd351399a7021a61d91e7d6785d84316eba5dba</t>
  </si>
  <si>
    <t xml:space="preserve">PARTNERS BILLIARDSBOWL NORTH BAY ON </t>
  </si>
  <si>
    <t>faf60fb8f863f9b2d8ecf990a6630b2c6e8daf0d964c2d76eafd9e2bf313e40b</t>
  </si>
  <si>
    <t>3aef103e55818c10dea7f5958015da24d496591c92664d01bef33ca990fcb42a</t>
  </si>
  <si>
    <t>1ffbe28e7f65bd4dd60c05e14179f6ad0136419c08f6d5433f0fecc6e45a6296</t>
  </si>
  <si>
    <t>6737e10dc879893be6008867e8e744a69a4a9ac0f983fff4ddcc73ca7e1e7adb</t>
  </si>
  <si>
    <t xml:space="preserve">AVERAGE JOE'S EATERY AND NORTH BAY ON </t>
  </si>
  <si>
    <t>8f6ccf1215fc594e2282a8d4dba40b3ab1a06fb6f98d79eb0f4fc1d5f386c5cd</t>
  </si>
  <si>
    <t>a74557704308eadb22dbb2164f5d2b32c84c575e70e5d3bb1cf0a99446d94777</t>
  </si>
  <si>
    <t>fff8e8a83ae8949ece466d4794231ea1cea8bdbb7b177141f8ade1984700bc8a</t>
  </si>
  <si>
    <t xml:space="preserve">TACO BELL # 6325 NORTH BAY ON </t>
  </si>
  <si>
    <t>bc0247d2f039d802d4081ab917635112d5778ae3559edf4ea0d5e6fd3093bc12</t>
  </si>
  <si>
    <t>d0042ed6a69e0828c8608d846feeebaef8f8b402fa318865cfaaa99b5a682fda</t>
  </si>
  <si>
    <t xml:space="preserve">WWW TRF DDA - 5956 </t>
  </si>
  <si>
    <t>0c270eec74ce26a6b48c08ca157b0f3b346d8c8f178e775ef82d1af5f91e1caf</t>
  </si>
  <si>
    <t xml:space="preserve">WWW TRF DDA - 8217 </t>
  </si>
  <si>
    <t>a75fe8f3fff8b267953e0c88f102f8bf0b64f4a45cef353e75341bd93e49fdd7</t>
  </si>
  <si>
    <t xml:space="preserve">WWW TRF DDA - 8216 </t>
  </si>
  <si>
    <t>731ccd1df88a90bfbc5af46e6e5953ed347cc134e595922952e2cb8db9874efa</t>
  </si>
  <si>
    <t xml:space="preserve">Transfer WWW TRANSFER - 8216 </t>
  </si>
  <si>
    <t>b9c2e97325631d4addf0543eb40b0edf634efef4392554fb76bb2ca1abfa3d53</t>
  </si>
  <si>
    <t>4fff6be9d251acb59b55bf739a87cafbc2e971ac46674f6af92de50e042d75a2</t>
  </si>
  <si>
    <t>bc978c9778da185977308794d230a58614e5122ce41eacd76aaa7c121c00cf5f</t>
  </si>
  <si>
    <t>9bf984c7ee2271db5fa667dc9ba636dec8a1b6eed6d14e5eff9f06827ef1a45e</t>
  </si>
  <si>
    <t>accrual payout for Front door &amp; patio stones (300 + 150 overpayment)</t>
  </si>
  <si>
    <t>088fbac8acd630afbc6bf95ab70256936a6569f876296aa872d292c3baf5397d</t>
  </si>
  <si>
    <t xml:space="preserve">Transfer WWW TRANSFER - 7944 </t>
  </si>
  <si>
    <t>21d94fa9f44ce0d87e3b97b62d7a5c08f0df64dad2170da4dc27d121847bbe1c</t>
  </si>
  <si>
    <t xml:space="preserve">WWW TRF DDA - 0971 </t>
  </si>
  <si>
    <t>85fc52c4a093d8e98f5ed185721e39e28f9109839f036729c0f9be2ffdc27db7</t>
  </si>
  <si>
    <t xml:space="preserve">WWW TRF DDA - 8459 </t>
  </si>
  <si>
    <t>73b7d429da3795e0b1354659462195a75896235372428475013d214db0ed99ff</t>
  </si>
  <si>
    <t xml:space="preserve">AMZN Mktp CA*N62BL4AC0 WWW.AMAZON.CAON </t>
  </si>
  <si>
    <t>ae33dfa2030e8ddc9aac4543216ccb77c9181cc7e9963d3e429ab7c191fab597</t>
  </si>
  <si>
    <t>707e19761f43be411d347b7fd66ad77419518c6bc9550e2a17f71ef92344cbce</t>
  </si>
  <si>
    <t>786ca691181816e0524c6830465f7def1a7833cd003bbeafdc91e5f510a1725f</t>
  </si>
  <si>
    <t xml:space="preserve">Transfer WWW TRANSFER - 8551 </t>
  </si>
  <si>
    <t>10f101b59643f19bef2c97a64ab614c724b4324f923b47f7c205de04fbcc49b6</t>
  </si>
  <si>
    <t>048630f44bddfbb89866e599c34da181e4274d8ad229cc1f3c4e27f992fd2552</t>
  </si>
  <si>
    <t xml:space="preserve">WWW TRF DDA - 8472 </t>
  </si>
  <si>
    <t>76b68487499b59e6051b20313b1ce6a8e1795a9d6b7fe779c8929af22a112c19</t>
  </si>
  <si>
    <t xml:space="preserve">WWW TRF DDA - 5726 </t>
  </si>
  <si>
    <t>4daf726e948e10a3f127a0e6cf10b4296c6b33fa23fe4cf02d9d98adeff762ad</t>
  </si>
  <si>
    <t xml:space="preserve">Transfer WWW TRANSFER - 8472 </t>
  </si>
  <si>
    <t>80ab3b8bb0c485a386203b9f88fab124149711d73f8270768c4c375a92f7794a</t>
  </si>
  <si>
    <t xml:space="preserve">Transfer WWW TRANSFER - 5726 </t>
  </si>
  <si>
    <t>f09a0ba3894123d01e4e692dfa11c20c365024126fc0d530dd80599bfd4e0cf6</t>
  </si>
  <si>
    <t xml:space="preserve">WWW TRF DDA - 8551 </t>
  </si>
  <si>
    <t>66b0715c91ed116bc50f48c32273f97b9fa5f1880cb5f873711f33faf009d788</t>
  </si>
  <si>
    <t>c8dc2620f3f65de2841eb2e6d72c4bc5a45b5fda21f40ebbf6cf9f845ea5ef22</t>
  </si>
  <si>
    <t>5d057af21136abcf7ad97b72256b6c2dde9551800fe9318065f3667874d85ffc</t>
  </si>
  <si>
    <t>545a7808e0e0f7b26e520ca6d8311dad4cd01158ed493e0a25c0edbac2d42f14</t>
  </si>
  <si>
    <t>9775561229493b55e00ee8cf955b3cd4be1049be4119d1cdfbb43eb6b2051a2a</t>
  </si>
  <si>
    <t>8797e81520896ac860b20a6b5cee2b94185d6355ffe4eb8b95e9b50d4098321a</t>
  </si>
  <si>
    <t xml:space="preserve">AMZN Mktp CA*N669347L1 WWW.AMAZON.CAON </t>
  </si>
  <si>
    <t>1a4c186139d7e800688a7f7d9a357bb3d251e17678233b8503d00800e9a36919</t>
  </si>
  <si>
    <t>Payment WWW PAYMENT - 0136 NORTH BAY WAT</t>
  </si>
  <si>
    <t>a4e8b001693fb40a699099b78f80f5223dd241b8c9582bcdcdb9f7a67b9af6f2</t>
  </si>
  <si>
    <t xml:space="preserve">Amazon.ca*N63Q76IA1 AMAZON.CA ON </t>
  </si>
  <si>
    <t>99e6cba2ae3d29285f6331da03565c6c41a9cc1c86982fccc9180a3945cedd2d</t>
  </si>
  <si>
    <t>75e5fe75b0892ac4e455b05def334e720663626e0b4c5cc9793a2b1ce1ea9473</t>
  </si>
  <si>
    <t>e21d5a8fa070811d407241063a1fb1816cea7318a00934eb588f7405bcc05a61</t>
  </si>
  <si>
    <t>25363a646a936a0c25ff0e2157e9cd9b4446aa4168524f4f6f739d143ae38c36</t>
  </si>
  <si>
    <t>5c9630afc41ca64b6a24930188432c4cf479c3705ba8cbf1da8825287460d810</t>
  </si>
  <si>
    <t xml:space="preserve">CACAO70 BARRIE BARRIE ON </t>
  </si>
  <si>
    <t>ac677573d3264dcca302115ec1eee23f944d5c239e5fbf57821e6ad2a48cf012</t>
  </si>
  <si>
    <t xml:space="preserve">Lids 7731 Cookstown ON </t>
  </si>
  <si>
    <t>eafa5d793c847836abe1cb5dc363759bc33a155925b33b82915506661803b7e5</t>
  </si>
  <si>
    <t xml:space="preserve">Calvin Klein Cookstown ON </t>
  </si>
  <si>
    <t>fbfc0713b87c0acfd398cadd0bc327bf057426a7d76f3548576354c65fdd0cae</t>
  </si>
  <si>
    <t xml:space="preserve">LABELS COOKSTOWN ON </t>
  </si>
  <si>
    <t>8d354df5edb8382a89995c42119fcdcaa44fe8bc9f79d8b3873b891407feede5</t>
  </si>
  <si>
    <t>6ada5149fa91633c6a1d67594e72e000199a4bafdb261018063532a83341f3aa</t>
  </si>
  <si>
    <t xml:space="preserve">IMPERIAL MEATS BARRIE ON </t>
  </si>
  <si>
    <t>af2219ba0ee72803fcd3a62f76a8e60ba18386118d9bf267e6de876bad7d7b99</t>
  </si>
  <si>
    <t xml:space="preserve">HM CA0089 Cookstown ON </t>
  </si>
  <si>
    <t>e436255a9ed127ae745785c74a48e0f0e2e89e56767fa084fade9cb4f1fe703b</t>
  </si>
  <si>
    <t>50bdb4cb21009a6511bb45356726f4742ed61cb438bc1d51e74f72888ae2c821</t>
  </si>
  <si>
    <t xml:space="preserve">OLD NAVY CA 472 COOKSTOWN ON </t>
  </si>
  <si>
    <t>c8369ddb4ce22a7d9d870339c153b95645bbaf28292bb9058c4e01cc9b12f5dc</t>
  </si>
  <si>
    <t xml:space="preserve">URBAN PLANET #1360 COOKSTOWN ON </t>
  </si>
  <si>
    <t>69e0951389bad5cd856f8b9ef3874969b916cab85e513a69754f14bcd11d6f8d</t>
  </si>
  <si>
    <t xml:space="preserve">WEST 49 #9609 COOKSTOWN ON </t>
  </si>
  <si>
    <t>ea6725a866c1ef293c760d7525575a59c9f47b1fcfe8b2f0dcaa9eb7faa71b60</t>
  </si>
  <si>
    <t xml:space="preserve">MARK'S STORE #72 BARRIE ON </t>
  </si>
  <si>
    <t>2d773410a19e4691418d87714aa5f9b527b083f52d58b89e4de338473076b5bf</t>
  </si>
  <si>
    <t xml:space="preserve">SHOE COMPANY #247 COOKSTOWN ON </t>
  </si>
  <si>
    <t>8777f078556041c2a3e98c678f0d70be1400c8492a992d9bfdb07b488d51df98</t>
  </si>
  <si>
    <t xml:space="preserve">SPOON &amp; FORK BARRIE ON </t>
  </si>
  <si>
    <t>83d627fc56b561445c6d7a54c07bff3ad540ac1fdff5fcb23afb9c2e0bbcfaff</t>
  </si>
  <si>
    <t xml:space="preserve">CANDY SHOPPE INC. SEVERN ON </t>
  </si>
  <si>
    <t>95c62f54cf04537d7bdd2247991cd58a806918c8cf734e4345e2b6f6020df9f0</t>
  </si>
  <si>
    <t>c0ab72461d3f5f6e6bdb20097e9ecb6a7237b5837387925f127f380cb7fde8c9</t>
  </si>
  <si>
    <t>336ffda8509796b16356c59db5dee45193afd47f791bad103ff5b0a603d3c4d6</t>
  </si>
  <si>
    <t>5130bd0edd7dce8c9a4c57b82671dec30754f7b74eb84347fb2f679dbaef4c2f</t>
  </si>
  <si>
    <t>ca3f6012b253f4ed60a2a73317db309211b0d2a40edcd4bc74796c041917d895</t>
  </si>
  <si>
    <t>a24e5f275bca11d72e38cb736aac3eb99cdf1d5939fd8a9b124b7faab953eea3</t>
  </si>
  <si>
    <t>c5537f17c9b94242445360f8432fc35b4a4c4c9c7fa62d461311cb3ae57ee736</t>
  </si>
  <si>
    <t>13e1c6c653c4a4949d7a052aa24cb772407538044aef4820c1de93b07dc3c76d</t>
  </si>
  <si>
    <t>30a8ddce93176451800aff371b50739a77bdb943d2570619ab97bde37e1ee0d5</t>
  </si>
  <si>
    <t>efe6afac001a4dc62278ad49e6a4d504787af4e97726050095726f03e84a9671</t>
  </si>
  <si>
    <t>3a6c0fa37ae3aa588b732858044244a828e7b1aad19029b3456cb68b9530e322</t>
  </si>
  <si>
    <t>c63dafd46ac76e5577b90acb6e8bbf7160cde729864dac1c152d1e1df5c82f37</t>
  </si>
  <si>
    <t>66295d2806c677793e49ede2b4f6725ed30481838d288d8e3dc59d14af1de113</t>
  </si>
  <si>
    <t>9fa4221146911d820a128cb1d90007b101e228810e446ebf023dd1d64e83aa63</t>
  </si>
  <si>
    <t>9384c070e82f6d3015df1cc88d4968915df1f14fe9b937cc7be480802d62d319</t>
  </si>
  <si>
    <t>47d479d65aa9bf17f904dbfa431eee4582f341b7d761dc25307d351513766703</t>
  </si>
  <si>
    <t>ea88d0db0e8c4860b65abcb91aa1123773161708cb6a23e9020b846c20b815d9</t>
  </si>
  <si>
    <t>5371f295558b5d89b657508003b823b321b3c795d3bddab5b524323fc0353b00</t>
  </si>
  <si>
    <t>1dfef054127953c780c849e0b1ae28523bea0a9142c8f1450f10c54d643af004</t>
  </si>
  <si>
    <t>9975dd74f1f04ee396291db6cfbce00880450d7d77a55ad2a2c4fd03378b4350</t>
  </si>
  <si>
    <t xml:space="preserve">AMZN Mktp CA*NA1UI7GF1 WWW.AMAZON.CAON </t>
  </si>
  <si>
    <t>1ff05f281c4e4b1f604e65217e1e3f1274f11f4c7e64e6adce65fcb4064d37c5</t>
  </si>
  <si>
    <t>ceef678fea96e5ae9e411b5ca7bb138c7501414d91ec8b2d7b5dfdc0d42d257a</t>
  </si>
  <si>
    <t>9af273f6f62110a133a9193c6014ddfef33f7806a619a5fbbb78ee8da130bf19</t>
  </si>
  <si>
    <t>f7b0b5dca109e2d29f37c30407224541acf142a6bf304e6bd8044d075bbb494c</t>
  </si>
  <si>
    <t>3cfa3e08381cf38119d60a57aa40da77349c3a2ffd8b4e30d95909e868800d0a</t>
  </si>
  <si>
    <t>0de06162c86cac9ea6a1a0a286152f8bdaa81a0be064848c1f72b430e1b1c4ab</t>
  </si>
  <si>
    <t>412e1c43e6913ab9c0c5af69f3a630e1cee3bdbf19aeef3c66bc05975004550c</t>
  </si>
  <si>
    <t>17fed14b51e08f36c4ad7da94c0bcce8a2f7374657ab27c26dfe2b887b796752</t>
  </si>
  <si>
    <t>4f5915e802f6370c085b7bdd31efacafe17a1cfb6ae8d7b185a6382d90f4dd91</t>
  </si>
  <si>
    <t>7d0553e73be0f748cd50a6c00c1a44f87cd8ce6dba42d1a00d79886b6b21a8d6</t>
  </si>
  <si>
    <t>be1981c9487fe5ef2bde7cfe6ae66f847e72ce32037b8e73d1062e6a24ec3b0c</t>
  </si>
  <si>
    <t>1953d2225a7443fe6d2fa66167e05021d898d1777fe5ed245229a3e9e41410b9</t>
  </si>
  <si>
    <t xml:space="preserve">WWW TRF DDA - 5789 </t>
  </si>
  <si>
    <t>97b6335b3974e7497a8d90e48371338ba595919aceceb81af8f41df090f3b23e</t>
  </si>
  <si>
    <t>645a013b697b69de5ca8709e60b4002f9a8883b2eb9f2f559b20f29ee45921ad</t>
  </si>
  <si>
    <t>69023d70d8069574d24341f90453db5a6ad4a3c40f2eaeda496eb993e655ec43</t>
  </si>
  <si>
    <t>1ef595248d0e8a1acdd8748e76b76b1896049568b08a22c60f1d09e6d246a285</t>
  </si>
  <si>
    <t>312ad332d578b9347ae939262359e8a4cb4dcea36245e996d4bc429487efe4f4</t>
  </si>
  <si>
    <t xml:space="preserve">Transfer WWW TRANSFER - 3809 </t>
  </si>
  <si>
    <t>zach and andrea payment</t>
  </si>
  <si>
    <t>30ee329cdfaea178468e23f5954fcac1e2bdf0c6fa621fb53c6962b0f5fae97e</t>
  </si>
  <si>
    <t>576d22a89a28321c4752585daf0c689ad778b9715cda8bf25ebcde3d53d1c56f</t>
  </si>
  <si>
    <t xml:space="preserve">WWW TRF DDA - 0477 </t>
  </si>
  <si>
    <t>7a5926554768137918c738df5cb081b965c8013f0bf968b6671b969e3475c828</t>
  </si>
  <si>
    <t xml:space="preserve">Transfer WWW TRANSFER - 2773 </t>
  </si>
  <si>
    <t>transfer from steve</t>
  </si>
  <si>
    <t>339ed5f199219d73db0d37451b51a5b4c15e6595af81a314385922198920dfb3</t>
  </si>
  <si>
    <t xml:space="preserve">Transfer WWW TRANSFER - 0477 </t>
  </si>
  <si>
    <t>a854f028f78394b118ba86a901f893cc8f340fe1670dc58e197d9390f67dfeeb</t>
  </si>
  <si>
    <t xml:space="preserve">MAC'S CONVENIENCE STORES NORTH BAY ON </t>
  </si>
  <si>
    <t>ceb4fbfcf58ebad4e40d5bcf98db04a9ccb4ebd064995245ea72a745ba672c77</t>
  </si>
  <si>
    <t>50673b9eefecbade423d20ae3dd959ca2d6942a0951d1cd7f42f3e4d95be3f2c</t>
  </si>
  <si>
    <t>139319ce441e389264ed0005f737076e180270d86fa92f7b0c102e569b4d76c4</t>
  </si>
  <si>
    <t>88bcf92fc5ab2321655fb7133657b4fe55eeb79ed1f7f648b801b40d3f41528c</t>
  </si>
  <si>
    <t xml:space="preserve">SERVICE FEE 13EPMT/WD/TFR@$1.25 </t>
  </si>
  <si>
    <t>0800f2868d7a7b1b9178849d0876fcb710e30c48221c2e13d76e1b93c0755f0b</t>
  </si>
  <si>
    <t>c3e933b1655b99e691939e679db4841d8d5b6e4605b4912d5abb2c5094f728b3</t>
  </si>
  <si>
    <t>4cefa9f435f96d7ebcb44fd171ae796f00215d8f2ffd3708e7f9aa3e02426bfd</t>
  </si>
  <si>
    <t>5f6fe823911460639adbce16689d466abce7db4d66127af911a40bd7cfe6083e</t>
  </si>
  <si>
    <t>f196e1a455d67919187be23603d47e0f6c9c0fed25ca3dc57de80c79f41cc815</t>
  </si>
  <si>
    <t>1360596cea5d05e017ff7facb495eff8cd87a582c8d31c0d27f5773d924150a1</t>
  </si>
  <si>
    <t xml:space="preserve">CANNABIS JACKS NORTH BAY NORTH BAY ON </t>
  </si>
  <si>
    <t>7d6bdb5b0d4b470414effb6779acb4f443fb5c29c757c61159021ccd6a134d32</t>
  </si>
  <si>
    <t>18b4fa9411279dc8c74804c0f51a1ec7cd98773cea9f4402d1198b16d84c3367</t>
  </si>
  <si>
    <t xml:space="preserve">KELSEY'S #7657 ORILLIA ON </t>
  </si>
  <si>
    <t>8ee307b618557af705dd12575ce56e95e8133f24d56961b02a75e83b97df204d</t>
  </si>
  <si>
    <t xml:space="preserve">SQ *232 PRODUCTIONS Oro Station ON </t>
  </si>
  <si>
    <t>194077a8b7d4d1c60309e0356151c2cbf08c7e9c8159952ff2fb52960d682fe8</t>
  </si>
  <si>
    <t xml:space="preserve">SQ *THE ULTIMATE FOOD TRUOro Station ON </t>
  </si>
  <si>
    <t>2f02964a39f926392e6df7c8a86c56e2ccf21302587dc73738dd428ad48ed566</t>
  </si>
  <si>
    <t xml:space="preserve">ARBY'S 2039 ORILLIA ON </t>
  </si>
  <si>
    <t>bfa9cb968f188bf1d215d3c68fdfc0f1559f1d6049378647a4f4cfd32ddda4fb</t>
  </si>
  <si>
    <t xml:space="preserve">SQ *232 PRODUCTIONS Toronto ON </t>
  </si>
  <si>
    <t>d898c5ba054d46bd065b05f2c13534cd76628dd7de359ebeb0526d841adef60b</t>
  </si>
  <si>
    <t>6f4d0a22176ab92e2d725c5e17f30e450cf1abd55ff01822164578ac104a5814</t>
  </si>
  <si>
    <t xml:space="preserve">SUMMER TIME LEMONADE WASAGA BEACH ON </t>
  </si>
  <si>
    <t>6cda2e2094f0310b416285a7458d443ca06a4118cf2ca85bd95a9a37634774ec</t>
  </si>
  <si>
    <t>dc40bfee2e44d68050159d9e13ec7f604c7266196a4db019cef9db57444dea0e</t>
  </si>
  <si>
    <t xml:space="preserve">SQ *232 PRODUCTIONS Hawkestone ON </t>
  </si>
  <si>
    <t>1db901f74a8e6cf0c5c0306092f080c1da260b74ffb6a0895686204331af9f33</t>
  </si>
  <si>
    <t xml:space="preserve">AMZN Mktp CA*NQ6F54SF1 WWW.AMAZON.CAON </t>
  </si>
  <si>
    <t>9d3d17d5944136117e85b15ed9f3d5de863892bd6af74900fe1d5c5dd1fbd09a</t>
  </si>
  <si>
    <t xml:space="preserve">RANCHO RELAXO TO GO TORONTO ON </t>
  </si>
  <si>
    <t>dd845c78e8d376e0d0558ba0960b9d214d63d528232621fdc4aaa71fe8f888a5</t>
  </si>
  <si>
    <t>5b864505967a33f11527cc7db552531872092a844cedd7e2691213898a9de095</t>
  </si>
  <si>
    <t>da9071c17b3fea0bafd8e28c62bc2971d7c47b8d199cb9ef65c4ceed44c6a5ba</t>
  </si>
  <si>
    <t>9d71904d9647997584f1e9717fcff4f4bdb47634cf48e93f5a1a6bd9a3618430</t>
  </si>
  <si>
    <t>reminder to ignore the incoming 271.80 (transfer from steve)</t>
  </si>
  <si>
    <t>payout from accrual: weekend concert</t>
  </si>
  <si>
    <t>payout from accrual: mel bike</t>
  </si>
  <si>
    <t>77d2838923917da0a384806bae52006cbb3ef9e02798cf8ec7a989df0d54454f</t>
  </si>
  <si>
    <t xml:space="preserve">SQ *SQUEEZE THE BAY LEMONNORTH BAY ON </t>
  </si>
  <si>
    <t>c1951325fa7b7019cc51ad82ee41921d763836aa1832c29ea3c639b61e2a98c0</t>
  </si>
  <si>
    <t>81587ae2845b4fbc5b69b94cfc78f37262fe2772cdb27f45b56334f7eb04cdc1</t>
  </si>
  <si>
    <t xml:space="preserve">Transfer WWW TRANSFER - 3611 </t>
  </si>
  <si>
    <t>e09a934642a3afb3c542463372183d537e0e236f4536b9b9e5b470e266677250</t>
  </si>
  <si>
    <t xml:space="preserve">Transfer WWW TRANSFER - 2122 </t>
  </si>
  <si>
    <t>e1a4c49c93a32f9d4d6eaf92a7fbbf9df237a0a2d81d50e416897267475543bc</t>
  </si>
  <si>
    <t>e554275f90fbeea74ca7f7b4f443c01e4e0d8b8c1ce6bca3818b180750d3e99e</t>
  </si>
  <si>
    <t xml:space="preserve">Transfer WWW TRANSFER - 6389 </t>
  </si>
  <si>
    <t>95c1f1e11048ab1baeab5615c9c43fed3927f234870f91c580b773d43fceaffe</t>
  </si>
  <si>
    <t>7910a1c48cc85d26f3b2576a107eb0c3cee2104fbb291410f063fc0496a4aa70</t>
  </si>
  <si>
    <t>df7adb8716d9eac7f79171c457fcdd272ca1c9e860370de82070eac3ab418a0f</t>
  </si>
  <si>
    <t xml:space="preserve">WWW TRF DDA - 9831 </t>
  </si>
  <si>
    <t>7ecb530da4f671a677dd8bddf02bd65aaa4f7b39ccb5eabd425e02b8a0849887</t>
  </si>
  <si>
    <t xml:space="preserve">WWW TRF DDA - 2123 </t>
  </si>
  <si>
    <t>11591a8f659d2147222d51c9c094d36e43974bf7b95e9e2255c8aa7096493d50</t>
  </si>
  <si>
    <t xml:space="preserve">WWW TRF DDA - 2122 </t>
  </si>
  <si>
    <t>7e2adcf74403469804965b78629c87a664a850bad9ce189f2c03c8b571d80c1e</t>
  </si>
  <si>
    <t>4ee2a0256bdfbce7ebe97d0da69125e3e0a09055382ef00f9ddeb0c3478c7c5a</t>
  </si>
  <si>
    <t>2cce31984d903f4a9b30f4ebe5decdc2ec345a0f6aa6702b375eb1ad4874e552</t>
  </si>
  <si>
    <t xml:space="preserve">Transfer WWW TRANSFER - 6784 </t>
  </si>
  <si>
    <t>2227633e2db9c3466fde7774893357cb3352b59b20e88592786bbb929c1e7ee5</t>
  </si>
  <si>
    <t xml:space="preserve">Transfer WWW TRANSFER - 9278 </t>
  </si>
  <si>
    <t>973a1a309e1e4cb2c3e6626abeafaf0e37ee0278fbd481f2ddc2f72289ab63eb</t>
  </si>
  <si>
    <t xml:space="preserve">WWW TRF DDA - 5355 </t>
  </si>
  <si>
    <t>15baf3bd59d13ca2353ceda567f0b7aa0cf8162b60d21881bac593ca5749f972</t>
  </si>
  <si>
    <t xml:space="preserve">Transfer WWW TRANSFER - 5355 </t>
  </si>
  <si>
    <t>3514bda452197bcdebb55942db9732fb5db4c30f2d1e964694c8ab543bb800c4</t>
  </si>
  <si>
    <t>7b091c994e5d89b1f29d1a7362c30927f66b895ade848f8508038c729cfc8738</t>
  </si>
  <si>
    <t xml:space="preserve">WWW TRF DDA - 2854 </t>
  </si>
  <si>
    <t>475231123b94214820a0b31872da1769c76fef0b2b6d76d383574def1bf0fff1</t>
  </si>
  <si>
    <t xml:space="preserve">WWW TRF DDA - 9278 </t>
  </si>
  <si>
    <t>a58c3792da844ae6ad9034ac4ac7d721059b2a1fa07bafd9daf0d18203b1b855</t>
  </si>
  <si>
    <t>420a745b3dca19dabfcfac4042a3dc96e15aa68c94c26134958ad8b41576682e</t>
  </si>
  <si>
    <t>46053d63fa95b3f585687d3edbac76b68aafadf36b8e5939e68139d2bae20bb5</t>
  </si>
  <si>
    <t>de76ec5a5fbe9d80c6b3c0b0e1ab7418c7d4dd650323f40f469e952245b4b49a</t>
  </si>
  <si>
    <t xml:space="preserve">AMZN Mktp CA*NL3681CM1 WWW.AMAZON.CAON </t>
  </si>
  <si>
    <t>c3da33a1bad9a9cd89f0d8e7a298f22e59fd69564e6c2a98f84dcddc2503ef8d</t>
  </si>
  <si>
    <t>b0ce62df7f504db39d8848dbfe31b72ebc22c93470f5ad10ee2fc6750311b6f9</t>
  </si>
  <si>
    <t>ccefe9a60b71ea0dc2578a239f715850ba5b0598aa80ea80a325250bfb914326</t>
  </si>
  <si>
    <t>52d34e4ac0f63c46e2e636d717b7e06d984d6c408b12409ed360bd2ad68c0fd1</t>
  </si>
  <si>
    <t>4a3386aa3dec50210f9f1dbd4e13f4467555e5e5df5de6f90ad570dcbe64830c</t>
  </si>
  <si>
    <t>2ed653b0640f58b9e95feca507517b3fefa40a17b38cbff5b8795432d5486742</t>
  </si>
  <si>
    <t>27fcd11aaaae4a319b7c310191b70aca516f8f560dda609faa908c13046d14c4</t>
  </si>
  <si>
    <t>0b645996266339dd85e2579fff493400a93f9f12d0b75dd565d6ca05353a39f1</t>
  </si>
  <si>
    <t>d95934b4f425d3c34f4fc867cb272c98d7193e0d3a28100e5e4373b33fc26f4b</t>
  </si>
  <si>
    <t>798a2ffc2bf2f84d0b1590cce8e5c04c3a90c2fc0af86e1b5752d42ee578a62b</t>
  </si>
  <si>
    <t>Payment WWW PAYMENT - 2180 NORTH BAY WAT</t>
  </si>
  <si>
    <t>3ad7ed811925ec852e5d0c1f1c09b81e60c5610e002787c49e667f037722d988</t>
  </si>
  <si>
    <t xml:space="preserve">Transfer WWW TRANSFER - 7567 </t>
  </si>
  <si>
    <t>bec9aff1a62ff1af453d7e4195338b152cf9bb1efed2698380a2e6c6334f9514</t>
  </si>
  <si>
    <t>9fd23129b9f83ade9eb55e42d2e1c22c81f5151f09900939000c562cfbb03746</t>
  </si>
  <si>
    <t>f4c03f7a972a0215841c38ec8bd9b68a0087699dbcfcade09c92062a1c7a59a0</t>
  </si>
  <si>
    <t xml:space="preserve">TIM HORTONS #0033 NORTH BAY ON </t>
  </si>
  <si>
    <t>c2c8a10270f5f3c52b51e0c5618eb7f9a7a1ae4754abe0938f95953d3d0a30e3</t>
  </si>
  <si>
    <t>bcb2372b054a6b81ba1a0f9c7adcc86fffe8625bed2f6309c1abfefddf8aaefe</t>
  </si>
  <si>
    <t>d46b29846a3408a82e1392be368d04db3296a155e4740507239763c47d616bc9</t>
  </si>
  <si>
    <t xml:space="preserve">TIM HORTONS #3688 STURGEON FALLON </t>
  </si>
  <si>
    <t>e64cbafa071b53ac33b30de756bc95b25e7ecea5e2ff7e5f1c9717e724e954da</t>
  </si>
  <si>
    <t>7088d0b1a72f0b47cfd33be62d31a18e1479a2e6b0cc82616c6398d6855a9370</t>
  </si>
  <si>
    <t>727c7fc6592cd3aa8f479f9c499dd7162baea5b317898a48a399119eb2debd40</t>
  </si>
  <si>
    <t xml:space="preserve">JEREMY'S TRUCK STOP AN NAIRN CENTRE ON </t>
  </si>
  <si>
    <t>e8b70248520e7ad003b278da1f8a16bb1c16601a61b59c737ee577c90a2d54c8</t>
  </si>
  <si>
    <t>4f467f59cbb851680ba6dc307d016ae71935d50a0c9656c60781efce63af6b8b</t>
  </si>
  <si>
    <t>496efba7f501d293837861306587019e58f7845efbf903d9f77c199857a3996a</t>
  </si>
  <si>
    <t xml:space="preserve">TWIGGS COFFEE ROASTERS NORTH BAY ON </t>
  </si>
  <si>
    <t>1674536ba8752c44e5b299961f22f2ba9d0e509b754d560084d789c53236974f</t>
  </si>
  <si>
    <t>eb9bd77c848f68ef4fb5a0494921fb328e276b14762cf41fb72fa0848705d3fe</t>
  </si>
  <si>
    <t>daea4193a6f7a502a3a0a6f74832f75089189117da52c1ba011273a107ec7be7</t>
  </si>
  <si>
    <t>4c4e7385ae134f1f6b9a559272cdb027c2f9b37b2e836e749f646520bdf5711f</t>
  </si>
  <si>
    <t>2e08c3d327d98916a00fd62b9a993763e12cb673c46530d45703593e4485bd93</t>
  </si>
  <si>
    <t>ab59140a8612223901aa469e80463ea6bada38ad48e435b8df0dcd4d0be65a6c</t>
  </si>
  <si>
    <t>67d53d310ebd2447082931d52ef8de0a104b404fdc264ea40e204abe3d3b0e08</t>
  </si>
  <si>
    <t>213ee3818cbe570e446304f3659f5679be966ccffa4148afcb639483ce88c8b3</t>
  </si>
  <si>
    <t>511a51ebdf79d7471e43a713c0faa5659aa63daf9070e37f7f1aea97efd30597</t>
  </si>
  <si>
    <t>7033cfb99bb5d99814782cbbf1fba4bc4d201ec9200a4fab553da7492942e10a</t>
  </si>
  <si>
    <t>6f1f5f4d1f8f007a5c697c75bae828e7ac6e9632f43c469bc7f76f8ad6db0d3a</t>
  </si>
  <si>
    <t>a50f3d066179a575be2ec422d9f5326eb6f6c507f742944370eb69ad81198d85</t>
  </si>
  <si>
    <t>d9509169a0e528195deb8e4337695904da92c6cfea5284b8bc73aa2868c1065c</t>
  </si>
  <si>
    <t>3723a86deca7ff0f9f0e63d39a8826127f9645e7cb19ab584fa207197bdfd0a3</t>
  </si>
  <si>
    <t>9ed04cf1cd356f5bc9107ce7f002db4dcf34e56839569d916fd70f3e6fac9c1d</t>
  </si>
  <si>
    <t xml:space="preserve">AIRBNB * HMTNTQMZQK AIRBNB.COM </t>
  </si>
  <si>
    <t>reminder to collect</t>
  </si>
  <si>
    <t>9b678dc01c62e6222ca18701ccefe8205153198c566fb9416b3f5cd036103b76</t>
  </si>
  <si>
    <t xml:space="preserve">AMZN Mktp CA*4A9TI5LH3 WWW.AMAZON.CAON </t>
  </si>
  <si>
    <t>bb87796b39f453d93fdb57c42541290de39c0bd6256514ace40bc23a619f3f3e</t>
  </si>
  <si>
    <t>b15f119158feaefd04d110cc947ee3ef0e2468ab052adf4f966e3fbd33237acd</t>
  </si>
  <si>
    <t>d625c95de40ca9b4bf47e491831023a4f369528f893c27b9320a28a78f0dd9b2</t>
  </si>
  <si>
    <t>37dcbdf614f413497db3a6e6969254892eab6511df1bc24800f953889240cd79</t>
  </si>
  <si>
    <t xml:space="preserve">BEYOND SUSHI NORTH BAY ON </t>
  </si>
  <si>
    <t>47f8d717252d1b031ba2f7d0917a772bc9548e62adfa54615120fed071b7876f</t>
  </si>
  <si>
    <t xml:space="preserve">Amazon.ca*HQ5M28K43 AMAZON.CA ON </t>
  </si>
  <si>
    <t>a48ff57e5534c29ec76b418f76460a7e9a71aad8df756714517876d8692315a4</t>
  </si>
  <si>
    <t>9ff4b35f9da91a559b6bc4fd5af1db4772c23f32497c2990b651bde1b71f40da</t>
  </si>
  <si>
    <t>3d8552d09ae5c2a0a4c2d3c1cb8251ce64a045148b300a5abbed0714713c78a0</t>
  </si>
  <si>
    <t>c66b496dfbda832c10bffc7848db17e017d9606cbc78b3e8c0bd19db9e3e8002</t>
  </si>
  <si>
    <t>e4bb191fbf1e3f20855019b1dbb2fcbc1fb812262cb29c67d393936c363c8fbf</t>
  </si>
  <si>
    <t>dadddf69cd1c084e52023c52e25e0c58000ed0dc643ab8af7fed72eb609e76a1</t>
  </si>
  <si>
    <t>0b3c827e2d53ec02edc7da3df439188b545531aeba7d6e99d722e972286f7bf5</t>
  </si>
  <si>
    <t>3b155bb90bb36a4aef1cca682d6e5970065a2affed5d8a82fe50c0c5bd353cf8</t>
  </si>
  <si>
    <t>3c04047cb66a331702463f56d7bb115825135e852f98c60ec7474425f92ea8fb</t>
  </si>
  <si>
    <t>0a9254edf982bbb07feab262fc9093540ae0e8387c8efc1c272517047f3a6830</t>
  </si>
  <si>
    <t>83b0752aa54245114a7e606de60a98039cff296c1099b446514b792c3faa8bbc</t>
  </si>
  <si>
    <t xml:space="preserve">AMZN Mktp CA*KD6LC4W33 WWW.AMAZON.CAON </t>
  </si>
  <si>
    <t>7b2b6a0570fc3516cfd712ead769ec35744bb3af598a42366ed7520264a84bae</t>
  </si>
  <si>
    <t>375c34251270408db26231a196b29facd6ba1480017f334f21c0ece7460715b1</t>
  </si>
  <si>
    <t xml:space="preserve">RIV CHIP STAND STURGEON FALLON </t>
  </si>
  <si>
    <t>dcfb8048414fdac003336825a36450602aebcb84807c6086894b70ddd563a4a6</t>
  </si>
  <si>
    <t>9b0857f1b18acb531e59c5492e54297ca310c50ff783f02ecf3a9719c6b224b5</t>
  </si>
  <si>
    <t xml:space="preserve">AMZN Mktp CA*U41MT8FG3 WWW.AMAZON.CAON </t>
  </si>
  <si>
    <t>084c318396bdc106417ccffba4fb5bae64787cc16c731f3ae4acad8e9837c3ce</t>
  </si>
  <si>
    <t xml:space="preserve">WWW TRF DDA - 7808 </t>
  </si>
  <si>
    <t>7e12018e72d5bae28bc34fbdae147d6209991a2eaca8132f7ae8c0178fcaa830</t>
  </si>
  <si>
    <t>3d90b45d145de7f69e2276e34459f61a737271ef99e1579a0d2a1eeed62a5e6d</t>
  </si>
  <si>
    <t>576ffc230cdbd07ccfca6f6a5fdb61f23a5a22fe1c690952718d7d2f3bc64479</t>
  </si>
  <si>
    <t>2fdbe45062bbc8755c44cd41578e578b16bb8d0dae49296672af09192699dac3</t>
  </si>
  <si>
    <t xml:space="preserve">WWW TRF DDA - 7295 </t>
  </si>
  <si>
    <t>6d36e55aeab98c5d32dc1a82af6680cab5d5c36be539c77dedf9bd6a6137950c</t>
  </si>
  <si>
    <t>55b404a06959dc27a19f4017c63eaf513e682636dd98301d6114af8c21e52966</t>
  </si>
  <si>
    <t>30efa26ec763a92eef7381cae1df23d83f9ad1f671f5a8f58ecd08eaeeb9424e</t>
  </si>
  <si>
    <t>1bacddff83e6526d62f068176e1c1dba18344ef0b05f93549886e9c130c9cfd2</t>
  </si>
  <si>
    <t>919617f89e4a395650555210b39ad82ccd8c861b210cc7f6bed5d004f4a3e67d</t>
  </si>
  <si>
    <t>22bfe31eb1cb732e83b22b8f404bbb2058664bd000c49787da62aea5ef738212</t>
  </si>
  <si>
    <t xml:space="preserve">Transfer WWW TRANSFER - 2584 </t>
  </si>
  <si>
    <t>c7a7c02bf0fc12e7aa5825599d194bb2ca011dca33bd89e53f532a376d8a451b</t>
  </si>
  <si>
    <t>466cdecc651c1e3deaef66fc01ca0b2f286dc4991bb29cfeb1003e094093b1f1</t>
  </si>
  <si>
    <t xml:space="preserve">WWW TRF DDA - 7923 </t>
  </si>
  <si>
    <t>1346f9e0500ca5d9fa74ff12ae946b70a57f03276304e1a6affd47cd3c8d5be2</t>
  </si>
  <si>
    <t xml:space="preserve">WWW TRF DDA - 2585 </t>
  </si>
  <si>
    <t>00fa9350ccab774d909f34214a149cbe6e2785b8817e1592a8c4684119e3e00c</t>
  </si>
  <si>
    <t xml:space="preserve">WWW TRF DDA - 2584 </t>
  </si>
  <si>
    <t>1830a2d2391f0410d73136b932cea81b184285ad9a99f6255bbd838e084c1ea1</t>
  </si>
  <si>
    <t>31b9c02a785063797c0079c5900259c1094c62956c6116a54ccc60597224c681</t>
  </si>
  <si>
    <t>b9ef11f45e7e1509c4141d861b867da1390735e3aca66f9948e833574a93dd52</t>
  </si>
  <si>
    <t>529200e28ff1e57b4a8d8af285d70ff5140fd24b3903f278b3ad89e0734d4e07</t>
  </si>
  <si>
    <t>f86ab1bbc2ecf985e262a156a04ce2761a9e4f1cac9f79356918c745355770a9</t>
  </si>
  <si>
    <t xml:space="preserve">PETRO-CANADA 35341 TEMAGAMI ON </t>
  </si>
  <si>
    <t>67c30adcea13e88a92809e4b981db390bc4c8fe198f6b006b8bea1aa80fd4ae9</t>
  </si>
  <si>
    <t xml:space="preserve">Transfer WWW TRANSFER - 4360 </t>
  </si>
  <si>
    <t>7d0bae4625bbc20b429734f58654a9a6494a2a5e0521d45d9fb44fd270fb927e</t>
  </si>
  <si>
    <t>fc7f14d95767b2c5cf3c535ffbb59495d4b035d6a9f92336d94bab5fa666c452</t>
  </si>
  <si>
    <t xml:space="preserve">WWW TRF DDA - 9837 </t>
  </si>
  <si>
    <t>4cdaa13617da313f65f2c69c7894c6413515de55727805581c466bf64762625e</t>
  </si>
  <si>
    <t xml:space="preserve">WWW TRF DDA - 4360 </t>
  </si>
  <si>
    <t>65571558639e4a078c2fbad5629473c8c96c26e0c8a06a1ababbf4b2c633e2e4</t>
  </si>
  <si>
    <t>9a9a78aaef20c4141fd1b9e9af344aed1daaff244726b1f2f3da6eaece320ee8</t>
  </si>
  <si>
    <t>7574b25a1a7e32253c9374624edca89c8b0f262d20c1b580947770835a659fe0</t>
  </si>
  <si>
    <t>2fcdd732355ac752393ff3bccf01b2f8a5fd13045e0c7aacd7f81a5ccda49c94</t>
  </si>
  <si>
    <t>338088f322f2dc550a46d2c87cec4b963b1320cf6ef7f49b168d8ea9c537eee6</t>
  </si>
  <si>
    <t>a6ab96376ac0c2622404942f6e6da89eed2f889aad007daba46c582cac4c95c3</t>
  </si>
  <si>
    <t>40e4b6e091cc3d9455e736f81b3a7c8e8fa72b7bc4575b99991dc2681969914c</t>
  </si>
  <si>
    <t xml:space="preserve">AMZN Mktp CA*LP25G7GI3 WWW.AMAZON.CAON </t>
  </si>
  <si>
    <t>108cf3783846e5ecddae5bd1a675385d27d18cc73786916b903e88e4369f2335</t>
  </si>
  <si>
    <t xml:space="preserve">AMZN Mktp CA*5L4VA1J33 WWW.AMAZON.CAON </t>
  </si>
  <si>
    <t>dace65b49f605910b50b3b97224c93cf67f3a113ba930920207381c0bcc3b8b4</t>
  </si>
  <si>
    <t>6db11e052cb46945bb1f6934843938dca9f45c8e42ad46d7b4c788d39dc87cda</t>
  </si>
  <si>
    <t>9f3dd514dde855a9027fa8860dc16f3b2a041fae1931f81123206f271fcccba2</t>
  </si>
  <si>
    <t xml:space="preserve">AMZN Mktp CA*9Z77030Z3 WWW.AMAZON.CAON </t>
  </si>
  <si>
    <t>798e70a386b85181839835e9d9f63ad91fd6bf2b59378ee04e42ca6de7da7f21</t>
  </si>
  <si>
    <t>aa87229900f41f348bd4ca076e3e7e9c910c11ae1ef1d5889717ecf22fbc2fb5</t>
  </si>
  <si>
    <t>9044b1bc7db0b6b6b70a6234af28bc3fded7fbd9947aec4f0a87c3b728712f04</t>
  </si>
  <si>
    <t>9727c450b576513996ff21e691a3331a2329b748b485522798b57c187d35c599</t>
  </si>
  <si>
    <t>Payment WWW PAYMENT - 6921 NORTH BAY WAT</t>
  </si>
  <si>
    <t>674d59191fc5479beed2ef57e0b62b3996177058958faeb129daf6a8325cb0b9</t>
  </si>
  <si>
    <t xml:space="preserve">FOODLAND #6447 HALIBURTON ON </t>
  </si>
  <si>
    <t>df350b954cc86e10cf18f96e0fa4255e9854b0ac60791f7c3f09c752cd30537e</t>
  </si>
  <si>
    <t xml:space="preserve">PETRO-CANADA 10499 BURKS FALLS ON </t>
  </si>
  <si>
    <t>97fb1f7dafee508272a0ebcb2cdac88f757a08b91a984290d02e854cf59f9520</t>
  </si>
  <si>
    <t>cfcabef1cbac93fca5fe84abaa2597c6841b40e53d5692b7ec1bfcd352632b82</t>
  </si>
  <si>
    <t xml:space="preserve">LCBO/RAO #0232 BURKS FALLS ON </t>
  </si>
  <si>
    <t>cd275986da1d03378a576d10c795c81c8554424ea6be4b7daaee8f1d8e8c52e8</t>
  </si>
  <si>
    <t xml:space="preserve">AMZN Mktp CA*NR1OL1ZZ3 866-216-1072 ON </t>
  </si>
  <si>
    <t>6cdfa617afc309c91b2b4f0982cdc342245ee19e6cf0ad78d208af785f272aec</t>
  </si>
  <si>
    <t xml:space="preserve">TIM HORTONS #4332 BANCROFT ON </t>
  </si>
  <si>
    <t>97640f362d8a34f63114c3a4b838ba5abe99f12c1a94dca8f33c0734f1f34620</t>
  </si>
  <si>
    <t xml:space="preserve">ROVER.COM* PET SVCS. NORTH BAY ON </t>
  </si>
  <si>
    <t>75632ef4e41cef1dcc3762223f6b5ddd18ec3e5f7f8b48c7df74ee8620650a68</t>
  </si>
  <si>
    <t>11b32864de9214d9a686fc169d97354eff475127924649910f71b9fc2f6fadd9</t>
  </si>
  <si>
    <t xml:space="preserve">Amazon.ca*VC3ZF2HW3 866-216-1072 ON </t>
  </si>
  <si>
    <t>85fc35c5825b90108875dcd468ed242fbbf9e05384a96de197fd7b76fe012643</t>
  </si>
  <si>
    <t>41092425bcc2160d97795f61663ada00ad69eced7d73d72df9c7941b9edf3e1a</t>
  </si>
  <si>
    <t>6ed41b8280becec285d5f93877daeb422cfc3b9af26cedc495f4f2d3ecb47988</t>
  </si>
  <si>
    <t>643e4a8e034bf41e9720a66394420c089658ccb536bf257fd50c798a01e8fcd6</t>
  </si>
  <si>
    <t xml:space="preserve">Amazon.ca*7U3RK27I3 866-216-1072 ON </t>
  </si>
  <si>
    <t>db4d79e247bbe57d49af02bcc0bc4d939d01ee59e818cfbbf8cef9428d9b3601</t>
  </si>
  <si>
    <t>8ff868682c1e7ea9a586dde074ba45974a7c6d3ff605327e56d394db706b269b</t>
  </si>
  <si>
    <t>a7fbc69b38625037be266e9dc4566f5414f3d8707d7cf7a6e374d4b922199c56</t>
  </si>
  <si>
    <t>d6e2629ed1b6771bfe21c7e54c8a20452b2751797c0cbcc84ef39ff39365cd9b</t>
  </si>
  <si>
    <t xml:space="preserve">WWW TRF DDA - 2117 </t>
  </si>
  <si>
    <t>26787980c5fdc22cb91222e0fd55de15f84d2dfd104253af849845a241a18e0f</t>
  </si>
  <si>
    <t>a791f1dd1cb5cb2fd988b2a843348b14ca486aba2be9d98685f04d2e56195407</t>
  </si>
  <si>
    <t xml:space="preserve">SERVICE FEE 1EPMT/WD/TFR@$5.00 </t>
  </si>
  <si>
    <t>726b8f8a2c0eb1d2ba8f50b9d2a728e72190db600d77256aa74ca7ea6514d35c</t>
  </si>
  <si>
    <t xml:space="preserve">STARLINK INTERNET Halifax NS </t>
  </si>
  <si>
    <t>7f6693b67434b967343f394f368ea1b00d9462b2e56e4b430fa016b6311b3ce1</t>
  </si>
  <si>
    <t>6ae95af512cc23bbde93c85871fd15f65d6a99e24afa2ac456ed61518aa3dfca</t>
  </si>
  <si>
    <t>b74f761f7d75b7ac6d76b16ec676bfe612f3a058ea2aadebaa4896e128d12a3a</t>
  </si>
  <si>
    <t>15eb49a408eefcec2e828397f2a37f0b89330ee404f471ac6b6496d86d8c78c2</t>
  </si>
  <si>
    <t>d772977af2e2a54b96ec4211ee520a70b63355768334f27dd5302122e558ad09</t>
  </si>
  <si>
    <t>aa9a36bd29d65021865d5093db9001dd14f229f5ae10feb33bd593f685c05e6d</t>
  </si>
  <si>
    <t xml:space="preserve">DR PIZZA NORTH BAY ON </t>
  </si>
  <si>
    <t>b1275971a3dc1fe5106aa54b5a04688bb623014cc797c7eb64c9ac92e102dc50</t>
  </si>
  <si>
    <t>9270c950a3d0fa3f327d83cf2cc70c666cf4c64cfc8587dd24aa5538cf980045</t>
  </si>
  <si>
    <t>9c6028543eacd469e6edc89407527607e8b19de61d0d0769ed9a178c2deec5c7</t>
  </si>
  <si>
    <t>ee0f07bdb652246753bc5cbdeb5ace03ef90c2ce6b390695f2ec576b59ef270f</t>
  </si>
  <si>
    <t xml:space="preserve">TIM HORTONS #0552 BLIND RIVER ON </t>
  </si>
  <si>
    <t>0c410c735ba798cc29b6328e0236182974f1a96474e7f3ec5311d0b360e0698a</t>
  </si>
  <si>
    <t xml:space="preserve">WAL-MART SUPERCENTER#1105SUDBURY ON </t>
  </si>
  <si>
    <t>840d58770cd22fb3cd4f6c1a8e03161fe7c7695a964cdce8ab0586fe9b8b6e3e</t>
  </si>
  <si>
    <t xml:space="preserve">PINO'S GET FRESH SAULT STE. MAON </t>
  </si>
  <si>
    <t>d8c79f89ad179ed621d9f22d38176410f98fd2dd0e7b079860776e2564e60469</t>
  </si>
  <si>
    <t xml:space="preserve">RANKIN GEN7 SAULT STE. MAON </t>
  </si>
  <si>
    <t>bc5cf87ab11249fad48e51868248afb3e0129a13a8b757e9e99451b90220b7ef</t>
  </si>
  <si>
    <t>c7596e8384421f767955f98c6513cd04614a08471ea233f9c879a51b994f37da</t>
  </si>
  <si>
    <t>f1564e023c3d67bcc0c9839cea6afb54476b930439d711d35e6464f4ab1e5e22</t>
  </si>
  <si>
    <t>6f9cb24f663902906387fe6ac6aa7fb6c0bab71684c24c1fcb84cf6eed63dca4</t>
  </si>
  <si>
    <t xml:space="preserve">WAWA RV RESORT &amp; CAMPGROUWAWA ON </t>
  </si>
  <si>
    <t>d1912ddb2d4d0a5e1d394c6947eb53fe8d8e979694381274a0d3ee9059f99e1d</t>
  </si>
  <si>
    <t>57f8b5dbc462e71044e113e29081d6e11296bac405a2012c416e1474b13685c7</t>
  </si>
  <si>
    <t>23f92e3b61c86e3fb7aeda4931b5da422d34dc18a9775bad795d7c9a37c4f367</t>
  </si>
  <si>
    <t>904d7ee211f144e4bed301b08a4ded076d2386d4facdc1d9f7070be75660baff</t>
  </si>
  <si>
    <t xml:space="preserve">SQ *ALGOMA HIGHLANDS WAWA ON </t>
  </si>
  <si>
    <t>48379f990f19b95cbecaf9ccdc1e99cf677221f6bffb53de7e772316cbbd049f</t>
  </si>
  <si>
    <t xml:space="preserve">BANGIN BURGER N CHICKEN SWAWA ON </t>
  </si>
  <si>
    <t>5a3f2f8a2718a9dd5423ec82206bb56154bbc4768d03ff57f5284e33596b6551</t>
  </si>
  <si>
    <t xml:space="preserve">T CANNABIS NW INC. Markham ON </t>
  </si>
  <si>
    <t>0a0f3250cf6e9508f19479764992fb2fce84bc798864fa8c8574c8a391d5c7e5</t>
  </si>
  <si>
    <t xml:space="preserve">THE BARGAIN SHOP #5390 WAWA ON </t>
  </si>
  <si>
    <t>c2a2c312375a08ea8fed7b8ad2ad620a402479cab897a341fa51d35307e751bc</t>
  </si>
  <si>
    <t>52cbe56a48758c530ccf5b8e4e86a35e32a65c4019d8b5a4237934a79dab687b</t>
  </si>
  <si>
    <t>2a4779d25415093d27ce1b404f5b64aa21195931407da5b307e25d5ff81e63ab</t>
  </si>
  <si>
    <t xml:space="preserve">JOHN'S YIG #3726 WAWA ON </t>
  </si>
  <si>
    <t>de8c013d815447f6aa94517018a2a67c921bd0003c30cac2aa3c0bcfafceea55</t>
  </si>
  <si>
    <t xml:space="preserve">PETRO-CANADA 56602 WAWA ON </t>
  </si>
  <si>
    <t>19c600a3f9c2fc9b14337f31ede55791c1f2986da4217fee0a7fc5daa9f83163</t>
  </si>
  <si>
    <t xml:space="preserve">LS THE CORPORATION OF WAWA ON </t>
  </si>
  <si>
    <t>efd6cd20a389571cf3e6cf3fda3f3d4a34d7561354bc7b33dfd52dd335cd36eb</t>
  </si>
  <si>
    <t>5ccd9a748b24a76881400b1f513962d68b589e7a7127c3ec5c75eb0f9401e672</t>
  </si>
  <si>
    <t>877e082c081e6e2c053964487b6b5006900666fdd5ba03fe0a2ccf944038c84b</t>
  </si>
  <si>
    <t>0e672c5aad6eaeeb41047e404ef103b10d9d274d4a2ea17f2b0db8cf9e2f2b33</t>
  </si>
  <si>
    <t xml:space="preserve">SERVICE FEE 2EPMT/WD/TFR@$1.25 </t>
  </si>
  <si>
    <t>0d0198261a793d5db6873ce43590ee8b2a06ee73adbafcc7f3b81f37148e5080</t>
  </si>
  <si>
    <t xml:space="preserve">MECP-LK SUPERIOR PPARK WAWA ON </t>
  </si>
  <si>
    <t>12c3fa5449e542e753381b4a70b1a3fce7a3c7807ac9850abdb8e336f6d261eb</t>
  </si>
  <si>
    <t xml:space="preserve">COGECO CONNEXION 905-3335343 ON </t>
  </si>
  <si>
    <t>73f78a91b28561942397286a12653b6c3c617d0d424e9eedb8e04f76151f99fa</t>
  </si>
  <si>
    <t>ddeb71ec75e9c79d2d9971c27dbd41666f5a39e74b79a76e2f519153eb8734fd</t>
  </si>
  <si>
    <t>d70cfeae6451e835fb3c9c59ca68b880146f71b29127682f9a287495015fed2a</t>
  </si>
  <si>
    <t xml:space="preserve">THE VOYAGEUR LODGE AND C BATCHAWANA BAON </t>
  </si>
  <si>
    <t>fb5fbe2cc31106fe076d1774fa4e9041d499f31b8897523bef0d057db0fe79b5</t>
  </si>
  <si>
    <t>720b74b9a9c9bd51ab79136d19cd47950149a5416f9e15767d609803beb05337</t>
  </si>
  <si>
    <t>6ef3b0dda8712694aa3f31d54d75e87d6651376ef9adc2c2a625c010680bbd5d</t>
  </si>
  <si>
    <t xml:space="preserve">SQ *VOYAGEURS? LODGE AND Batchawana BaON </t>
  </si>
  <si>
    <t>830429d1f83bd5b5522a07ca7486d1db4fc151e50b86cbc0fbe70b9ee480ceb6</t>
  </si>
  <si>
    <t>440878cdc7f829b8007e3e61f2423fff761ba179ce39bee3e12fdc13362c58f2</t>
  </si>
  <si>
    <t xml:space="preserve">MECP-ONTPARK-INT-RESER ORILLIA ON </t>
  </si>
  <si>
    <t>9d6e15f0416cec928c95c6e3ad1ca1bab04d5a792f23bc389eb464350e88e1a6</t>
  </si>
  <si>
    <t>64e1ccc9a889b28ec50d0c5defcf34e63d62de0b013c270fb046c205a6ed4363</t>
  </si>
  <si>
    <t>a93e8b7a42821dc5504f1f662271cad9aab3ef7182f02636138367437f2fc5f7</t>
  </si>
  <si>
    <t xml:space="preserve">CAD SODA SNACK VENDING TORONTO ON </t>
  </si>
  <si>
    <t>762db1175990fa49f93ef46c054ab22da81b76d2c89df33a28c40b2816992b20</t>
  </si>
  <si>
    <t>05ad7f37389d6d02206850da80f8635352e3ee9dd154d38d5b0037f559e0aeeb</t>
  </si>
  <si>
    <t>9a5474babe25df845ea091cde23bffe0754e00e47689ae67b3f95890611c66d1</t>
  </si>
  <si>
    <t>4a1e5fd1727d2129152852eee896ae3a902162f9a1b349045774f9f5d7dbf91f</t>
  </si>
  <si>
    <t>edb9bbc4a754d0fa4b2290c0b63947ec426ba77efb24e1a0ca1a0ccffbce65f5</t>
  </si>
  <si>
    <t xml:space="preserve">WWW TRF DDA - 0080 </t>
  </si>
  <si>
    <t>b4b87f6dda996991db17c6fe113e514aaa6063e6f857d3c7a2c4074c2e432aea</t>
  </si>
  <si>
    <t xml:space="preserve">WWW TRF DDA - 2593 </t>
  </si>
  <si>
    <t>f6317d01c400d3a41e8dfeacadcae96aa34c4754d98172e24673e014fe8ffb39</t>
  </si>
  <si>
    <t xml:space="preserve">WWW TRF DDA - 2594 </t>
  </si>
  <si>
    <t>e67d15e09e3669bddd5aee8d2e2c55c46de9b3d5c9c0d19df01c6d6a9e635002</t>
  </si>
  <si>
    <t xml:space="preserve">Transfer WWW TRANSFER - 2594 </t>
  </si>
  <si>
    <t>e4160eb3e48ae9101169608092267cd754a8e981e10b242145acf43fd9df7171</t>
  </si>
  <si>
    <t>78cc6f8f6d44c0d474fd5ba9d5d23b82f25bcac58eaf5023aac24034c833cc9d</t>
  </si>
  <si>
    <t>a1c0c0e1bae23f4a43a118fb650185fda980fcce3c92015afb7242c1ad7994a2</t>
  </si>
  <si>
    <t>a950953b6432b641b77e3527cb82b47f2d247bb2dfd2f62469d34711b8fcc9e6</t>
  </si>
  <si>
    <t xml:space="preserve">AMZN Mktp CA*BK3CH79R3 866-216-1072 ON </t>
  </si>
  <si>
    <t>29ffae08122599ada0e36853527e302f7ef5aeea11ef802dd55d2a7dc8785955</t>
  </si>
  <si>
    <t xml:space="preserve">AMZN Mktp CA*FE5HZ0RW3 866-216-1072 ON </t>
  </si>
  <si>
    <t>b159ecdaa7f00b59c44fd9b651876c1c5b64a5726e2a9e1ff2b69d3cd02f1d5b</t>
  </si>
  <si>
    <t>9dccb125b7ca99524cd6416067e1da79bcdd17e4c00a8fed730fb69095b1d3b7</t>
  </si>
  <si>
    <t xml:space="preserve">WWW TRF DDA - 9165 </t>
  </si>
  <si>
    <t>02623e9e6a74c38af1412bfea70645cd23419ff6524a6ce9a013164e41f8684b</t>
  </si>
  <si>
    <t xml:space="preserve">Transfer WWW TRANSFER - 2886 </t>
  </si>
  <si>
    <t>a2a4d306fb86229eae939da2ec19126af7f836e760356fd85dd785a56c760ddc</t>
  </si>
  <si>
    <t>d93746cf90245e02ee9841777519e60ce2dcb49c77c106ac6e265686ae0ff2ba</t>
  </si>
  <si>
    <t xml:space="preserve">AMZN Mktp CA*Z448D23S3 866-216-1072 ON </t>
  </si>
  <si>
    <t>7c3b64e7f61670b831db080346c42a28bdf285edf90fef172bcba4958c1d0a8f</t>
  </si>
  <si>
    <t>8e19bd587aa171f1eeefc1cf5db3dfb2229eb8c81516b7c42501a298344cb81b</t>
  </si>
  <si>
    <t>aead543ecd450d8ea00849fd7f1816c45d73f07447ea149991d1d698823014e9</t>
  </si>
  <si>
    <t xml:space="preserve">AMZN Mktp CA*202ZW4I33 866-216-1072 ON </t>
  </si>
  <si>
    <t>a5c096fda66288d5d9418b00820251e8682ae0003c3f47788c768feb337f40e3</t>
  </si>
  <si>
    <t>042dcff85f4d92d72c2314073f77abdb67a3b6dd6795b3ca27e66b07ad837158</t>
  </si>
  <si>
    <t>71d62fd29d6166a12a6d7a3849a62b2639c6864631225adcc192979eb90ce81e</t>
  </si>
  <si>
    <t>94158afac556ad763ae98e7d149d11d315e91fab2e838b4f8304611ff439ed43</t>
  </si>
  <si>
    <t>c540a088dd46d108eaefbeac35200fbfbf078194872e182244b737768c34d633</t>
  </si>
  <si>
    <t>fc1b91e4dfa7c77bc825cec92d5aa7a4019622baa8e6948bdc4fc6141f4514b3</t>
  </si>
  <si>
    <t>e5a6921de4f8a5fb54a724210d45eb7b795e62d7ba16eb24c6d927e864a7a44c</t>
  </si>
  <si>
    <t>6e8a483c43c713eae4fa39142f91376510c485dbbd0dc1e0c35ee7635a618f52</t>
  </si>
  <si>
    <t xml:space="preserve">BIOPED #45 NORTH BAY NORTH BAY ON </t>
  </si>
  <si>
    <t>to get reinbursed</t>
  </si>
  <si>
    <t>23bd24a7cd82cdcf88a4ab25952e38011a3a940ea08fbafa3dffcef2dd325d7e</t>
  </si>
  <si>
    <t>3cf10a6e166b95e8fc4eada953ec64b7864f78befc5ff55c3fe22c7e09a98bf9</t>
  </si>
  <si>
    <t>fa53e608b67040002d986a5f3a4440e0f5b73b2393629519a5f75f9d252dd4f6</t>
  </si>
  <si>
    <t>Payment WWW PAYMENT - 1670 NORTH BAY WAT</t>
  </si>
  <si>
    <t>5ca5f4e1c1adab161fcf9f0f887d1187da65451d01ee7b2f8a8e14a1b42ed500</t>
  </si>
  <si>
    <t xml:space="preserve">AMZN Mktp CA*ER2ZR4ZW3 866-216-1072 ON </t>
  </si>
  <si>
    <t>0d6bfeca9c7195a53f0de3a14d7d3a8bafe81a453f30b46f0297f9a5a2e37845</t>
  </si>
  <si>
    <t>537648dd0b2104a66db871ff43bcd3da898045f2dbaff2ef91459f298002a1f4</t>
  </si>
  <si>
    <t>89ff9de4180e2d654d17ecae4140992a34bb043f0b4e55e088af51e9d9e57f8c</t>
  </si>
  <si>
    <t xml:space="preserve">WWW.GRECOS* GRECOS PIZ NORTH BAY ON </t>
  </si>
  <si>
    <t>0a4d6a5755e319f61cc4c15b2e2cdbff6479fee549d0a8ff8c3f3a6b3092ee29</t>
  </si>
  <si>
    <t xml:space="preserve">ONE PLANT NORTH BAY NORTH BAY ON </t>
  </si>
  <si>
    <t>69df8c4da83ae5b9a514aa1d35f8919f529f2d4fdfe2660c06d3396bbc3d01f7</t>
  </si>
  <si>
    <t>332bb55f9ff0a307187ca23662971e5a685db7526e1dd7fe9ebe86ad1b77f1af</t>
  </si>
  <si>
    <t>b0e8e4f689ccc614dd3d55f2ff069f83f3fa4f6f640609eb8e5ee5f54d510f31</t>
  </si>
  <si>
    <t>69d8c78c8349cd279ef98e27c7ccca0f7534dee8641eb58e5fa0b0ac89c2765f</t>
  </si>
  <si>
    <t>a008ff39b525c5bd822a79afe2abb4e89ba3cfb7dc4b63c68e3dcc135fce1dee</t>
  </si>
  <si>
    <t>c5bb11afe6da3675c3656d0a7e95d7ee75a36569ff8cee7f17a5ab32ddb19513</t>
  </si>
  <si>
    <t>40d9fa6856f1307628bdd10fc32f535bab55d4a9aff2c799ea09cca0601a563f</t>
  </si>
  <si>
    <t>38a522b60dc074970c96649ffbb16e6314552a8ac42bafdef23ccee6834c7b68</t>
  </si>
  <si>
    <t>5dfe2545369079759c439d7ec2edc36d6eba982d2253cc7c5db9c42ea93b5cf7</t>
  </si>
  <si>
    <t xml:space="preserve">Amazon.ca*868RY89Z3 866-216-1072 ON </t>
  </si>
  <si>
    <t>4e8a2399272011f24b51e43419f0441a35c3b0a5a2c18d8e7dd640ab34fc7b7c</t>
  </si>
  <si>
    <t>6ade300b74ff64d9d05bffc4af599f80dbd9fd51d38909e919126ed9fcea653c</t>
  </si>
  <si>
    <t>df07ba34f9ae8238496229cf6fbf477181f9628851c5f0a7856c998be104227d</t>
  </si>
  <si>
    <t>4ac662092970abc319850e8c18ab1e646411348be3768f7d017f98cd5ab141a4</t>
  </si>
  <si>
    <t xml:space="preserve">BILL PAYMENT Koodo Mobile </t>
  </si>
  <si>
    <t>ae31b851ca8bf33b93a21a3ec5b68b6f8d3bab52c3aaec5d8207fa083bf827f7</t>
  </si>
  <si>
    <t>071ca05fb12de615dfac89670d10cf29092ccbcecb4f609c1abd7e5f976cced1</t>
  </si>
  <si>
    <t>87ad5dfbe47155bf69419da785aa3be34415b244e0baebe0898e7a0ff0c435e4</t>
  </si>
  <si>
    <t>fdd79b29c793b5b259846390dbfd2eb4235883b6bdbaf4d892a3f9d02ae50595</t>
  </si>
  <si>
    <t xml:space="preserve">DAIRY QUEEN #12237 NORTH BAY ON </t>
  </si>
  <si>
    <t>f9a62aa26228d2bde9367a04b8bab57317667077c4e2af229d142839284e6bf3</t>
  </si>
  <si>
    <t>136ecdb95a04843ac6ce9c135574f2fe213bab5b808621203026dca3df0e1536</t>
  </si>
  <si>
    <t>0f0946cf6ea3f3c205c5d2547249267c12705931206bb275766e97104e2682f6</t>
  </si>
  <si>
    <t>fc6de4df5a33ebff36dfda72c95ee029824c8535a7d85265ccfd31fd813c25bc</t>
  </si>
  <si>
    <t>a33df238e4c64d5c32a69d61c3b70b86e7c314e767b05d75914bfb210d323610</t>
  </si>
  <si>
    <t>78521ff7137411f0ab93da2e86a45d726612f1fd2183eb8a1391aae67af93255</t>
  </si>
  <si>
    <t xml:space="preserve">MORTGAGE MERIX </t>
  </si>
  <si>
    <t>d4a60cc9bf47697870bf69e0bf76cbf83886e443d44ab0713ebec92a9017f7c6</t>
  </si>
  <si>
    <t xml:space="preserve">WWW TRF DDA - 4982 </t>
  </si>
  <si>
    <t>orlando</t>
  </si>
  <si>
    <t>e4429a37acae38a644c4510abd273d3c94c08e1a21eeef61d2af4393614708d9</t>
  </si>
  <si>
    <t>89e1d9572174ca4cd0cc528dbc8c85731d64ea48aa357b7fcc467e072a02fc9a</t>
  </si>
  <si>
    <t>1203b80a676537283637a6ece5bfde381771982b9dae7d7377925ebba1deb8cf</t>
  </si>
  <si>
    <t>93d8d9f7972ca5678cb90ec9a78748640b4075acc895fae181a476f9eb1f1318</t>
  </si>
  <si>
    <t>04d6b2c2fac0adf1c1f99f041e47c06ab2a02c1ce1963b403c1e23b96ae5d96b</t>
  </si>
  <si>
    <t>a6ba979307e5496457a0fc2b63315584a1e7561c26fd590be65ac06b12a82e8f</t>
  </si>
  <si>
    <t>81d8c65bfbd67d1591dad4524358911ca843e002ee9700fbffc9b24ce991aad8</t>
  </si>
  <si>
    <t>blake bachelor</t>
  </si>
  <si>
    <t>rebalance from heat/gas</t>
  </si>
  <si>
    <t>rebalance to vacation</t>
  </si>
  <si>
    <t>rebalance to weed</t>
  </si>
  <si>
    <t>rebalance from gym</t>
  </si>
  <si>
    <t>rebalance from bar night</t>
  </si>
  <si>
    <t>rebalance from entertainment</t>
  </si>
  <si>
    <t>jam</t>
  </si>
  <si>
    <t>6eeca4a0757a8294944ac63b0eff9e1c6fd787a2958003fa6f42cf3a340553d9</t>
  </si>
  <si>
    <t>mel transfer jam</t>
  </si>
  <si>
    <t>d9d3681a68abcdfa8c7e63a427f5b72965b6285c245b5333976738a3c45e577c</t>
  </si>
  <si>
    <t>72a5bb111026e111337479a199026d87e9e005fbb1143769934dd35f73063b4b</t>
  </si>
  <si>
    <t xml:space="preserve">WWW TRF DDA - 7589 </t>
  </si>
  <si>
    <t>f942f26b995f8ac5f020181c6315b38953e3d30524d60a0545d91b7960042299</t>
  </si>
  <si>
    <t xml:space="preserve">WWW TRF DDA - 4116 </t>
  </si>
  <si>
    <t>09528775cb0936c1eb75d6998483494bd95424f6aec6401e5316b8e4dd9fae09</t>
  </si>
  <si>
    <t xml:space="preserve">Transfer WWW TRANSFER - 4116 </t>
  </si>
  <si>
    <t>ebd712f0653b58481580fb3c6aebfde56e99edca213af0acbb01020d2f73ab34</t>
  </si>
  <si>
    <t>f0645360f9cd953871fecbd3d1a707e5ccae372dd513947fe211b939a7ac6c4b</t>
  </si>
  <si>
    <t xml:space="preserve">WWW TRF DDA - 1991 </t>
  </si>
  <si>
    <t>??</t>
  </si>
  <si>
    <t>2eca0436ce67136ddd83944c94ba62a2815cda910ce4350f50398979df36b0be</t>
  </si>
  <si>
    <t xml:space="preserve">Transfer WWW TRANSFER - 1885 </t>
  </si>
  <si>
    <t>98d7ee9f407907dccd055db5c19b4d6b8e0091ab92899a980663ca68ed1522d9</t>
  </si>
  <si>
    <t>0fadd71af85b91b52322e9f6e3a3bb1e862c2d059eaf5813ba564d3b194fa759</t>
  </si>
  <si>
    <t>d64bb6df2e0b891d4a7f3f395fce1378fe448b617d9b8aa0ed5fb795f7f1d006</t>
  </si>
  <si>
    <t>b8e62e8881379df72ec54e4dfa4eb8ad5e9138c07f6fa81d5d4c31e8523be42f</t>
  </si>
  <si>
    <t>650b2e498c9561676a59389f80339b1e5eb73147e9246613edadf8700e11c8a6</t>
  </si>
  <si>
    <t>666056214ab4697c2036ee065c8e7a62dce7ba07ac0b8c49fa15b91ae68db778</t>
  </si>
  <si>
    <t xml:space="preserve">SERVICE FEE 3EPMT/WD/TFR@$1.25 </t>
  </si>
  <si>
    <t>8ef4e94a1f93b5fd690e581798659082f51a59291e697f4f4499c7deb2078dc8</t>
  </si>
  <si>
    <t xml:space="preserve">BIRCHAVEN VARIETY NORTH BAY ON </t>
  </si>
  <si>
    <t>2f57011fe123a52d823713a53f90486ef434dc490a8c73ba234280c092d0bf32</t>
  </si>
  <si>
    <t>d2107465c408a8bf73129fec09f297c78cd0d6f32588085b8e9a715acecb3263</t>
  </si>
  <si>
    <t>3b99dd04cc83f7034aae39fae8ee8c2ae8a16e26710d0c3d89aefde073e903c1</t>
  </si>
  <si>
    <t>e15f6ef973dacce9d1ef1db6eb3c523ed62f13f98f5115c47237d982db9b49fb</t>
  </si>
  <si>
    <t>b63180395d445ee0688e31edf867cfd05a15bb3a650847c6d848241ae038cd58</t>
  </si>
  <si>
    <t>0557eb6fbe8f11b57db12944aff5895ec080a494b54ffd6445bd7971e64040b8</t>
  </si>
  <si>
    <t>03161a99a06f02ad810da7c5db2c65ff54328780556d8345aaeb60428706afb2</t>
  </si>
  <si>
    <t xml:space="preserve">Transfer WWW TRANSFER - 3945 </t>
  </si>
  <si>
    <t>a4c4c9d4c0513c4d99286f102726533158e587f045e82918173f4c1e798dcb2a</t>
  </si>
  <si>
    <t>33d2f787275736a18fafc8c43d3cf10d28289bd6bea1b663331bf26b305433da</t>
  </si>
  <si>
    <t>bb1128912dd14a4e304df5bb13974e2e969d455a0b26cf85595f2a43f49a3635</t>
  </si>
  <si>
    <t>510243d5e31c5c6e03cb41872b977382c9410f4f93ac1216c63ac79f2d4e4d4a</t>
  </si>
  <si>
    <t xml:space="preserve">WWW TRF DDA - 1481 </t>
  </si>
  <si>
    <t>0a637f1efc1997cadcfa4a2956bcc543c10819a92b9a2b61fd7a8f5b5a6b1551</t>
  </si>
  <si>
    <t xml:space="preserve">WWW TRF DDA - 3946 </t>
  </si>
  <si>
    <t>f45d9ebf15d68702f31c5d6f5363b913c12291316b79c495576c99a88cf1c783</t>
  </si>
  <si>
    <t xml:space="preserve">WWW TRF DDA - 3945 </t>
  </si>
  <si>
    <t>32b2d9b80e2a580764a3e8e24f33657bae2c041f5fcbef99a92e1612286aa1e1</t>
  </si>
  <si>
    <t>8fbdab2497937963c370cf3b424134a6ec956c33940137430933631dd319596e</t>
  </si>
  <si>
    <t xml:space="preserve">WWW TRF DDA - 0648 </t>
  </si>
  <si>
    <t>9b99db77be5d115cb891ae344842c65a515ba8cad68be3f2dd53612912df6b5c</t>
  </si>
  <si>
    <t>7b26ecda3176863a6ec4a31bc3ae9fef37f872172c621c89243fd265389f3c16</t>
  </si>
  <si>
    <t>2ae303e44807e96c153c91d4af44db25bf2aea4e1566128ee24b9a7cafb4ff0d</t>
  </si>
  <si>
    <t>cf3109315368548bd56363b30014ad7f206f1aaa692524f417536cb9d705dda6</t>
  </si>
  <si>
    <t>ef6c55595f4714aa7a5d4a19b762a2d82b0861652b6966412add4e351b93e30b</t>
  </si>
  <si>
    <t>c6ecf2d400d44779fa893cb8b225310927a459e6c0527f10d8ad92e6b748e37f</t>
  </si>
  <si>
    <t>3b8c00df0dd204af2bcdfbce31867792b8d0f6dac430ac90bfd20a0be9769891</t>
  </si>
  <si>
    <t>a2d5f387459ae463a0debde99b385fd54879d2be7f749fa996bb4e827acd264f</t>
  </si>
  <si>
    <t>70cd0fd8e61f960fbefba075a4e05dff2fda4c1123da24c021ccd422fb904c02</t>
  </si>
  <si>
    <t xml:space="preserve">Transfer WWW TRANSFER - 5948 </t>
  </si>
  <si>
    <t>adc6b1bd820da3150e01d99ba0751a8cf22255bfe4cba4ffb239a1bd37836596</t>
  </si>
  <si>
    <t xml:space="preserve">Transfer WWW TRANSFER - 3947 </t>
  </si>
  <si>
    <t>glasses insurance reinburse</t>
  </si>
  <si>
    <t>8a652923e96fc43a8e82ae22f1a24be948774f11e3788992b51dc4bb814b8883</t>
  </si>
  <si>
    <t xml:space="preserve">Transfer WWW TRANSFER - 3925 </t>
  </si>
  <si>
    <t>bioped insurance reinbursed</t>
  </si>
  <si>
    <t>4bfd623d5fc7679a5556d71d041bb617ee61547055ff75e26eddcc1853e5f088</t>
  </si>
  <si>
    <t xml:space="preserve">WWW TRF DDA - 5948 </t>
  </si>
  <si>
    <t>ad988ff796102551a802b3fdea94420d9618285734bb51c81aa6038919340db5</t>
  </si>
  <si>
    <t xml:space="preserve">Nordik Spa Village Chelsea QC </t>
  </si>
  <si>
    <t>3ae2a89abc9be68214deda6198ef24073df23358f7c6a308b9baf25782f03099</t>
  </si>
  <si>
    <t xml:space="preserve">TRANS CANADA RV STURGEON FALLON </t>
  </si>
  <si>
    <t>b1c1801c343aca8337bc6da1007a3a2d3539dae4cf24deb047af1c201ce57e13</t>
  </si>
  <si>
    <t>f43c98e247c15d7d51883e44b066afe4ee19eca15284d091d03da9bbc6889c83</t>
  </si>
  <si>
    <t>adc450a0a4d4e99a2561571a9b42754fc43e4fffa9ece32c398409a4d8e0f81c</t>
  </si>
  <si>
    <t>1e1d34fdd9d51af816d0b8c968e8e54c20f7edbcbd9e4268f6e075f536ca1e37</t>
  </si>
  <si>
    <t xml:space="preserve">Amazon.ca*NV4K66QL2 866-216-1072 ON </t>
  </si>
  <si>
    <t>818a2b99ee075a8c2bf2a0ecc6cd4356efc82b54c83f38575ccfddf7fa2ce3ff</t>
  </si>
  <si>
    <t xml:space="preserve">AMZN Mktp CA*NF0U293P1 866-216-1072 ON </t>
  </si>
  <si>
    <t>c7e63f8e328ba1cbf691fd8aebbfaefadeb31c4b6a7c5a22ae94227586c27e93</t>
  </si>
  <si>
    <t>3665ad561cb8d162ec649c8327cb3808da723a8f92314fcb49f67eaf2413c989</t>
  </si>
  <si>
    <t>a27eec46463d4c21e248c8cbe6625367d0aea7ba10a04dce40a1f5b5f7200c15</t>
  </si>
  <si>
    <t>c9dbba22ebd26e72a11eff8894d178f45b230228e03d14a6df09a0db6f385ed4</t>
  </si>
  <si>
    <t xml:space="preserve">VALUE VILLAGE # 2076 NORTH BAY ON </t>
  </si>
  <si>
    <t>61b586eedf73ef6098bc2946d22d642d02c466f36172f12f3e097796dffc0208</t>
  </si>
  <si>
    <t>9e062b34bfa45a1a53149be6ca01786d39b5df8dbbf5751876540c6b23316c79</t>
  </si>
  <si>
    <t>4be5ab5771878f81708318b1253bd45931519f50dec88ba8e6142bf577457a36</t>
  </si>
  <si>
    <t>fe40ff455ed5333611d995e9ee9fde15b2b4e2ee57799940c2d360d3a42d7e65</t>
  </si>
  <si>
    <t>d73e0525e898014aa94cb9003e6e69c183520675ba646eeae771876fe915a7be</t>
  </si>
  <si>
    <t>d91e2d4163c60d3660de199f490e9b4898cf4aad103ae4f43da30b8b19357b6e</t>
  </si>
  <si>
    <t>ab0c2299c021eeb5392278145a3d7b7c7d4a542e9254e81ce4a026a2e0dcf5ab</t>
  </si>
  <si>
    <t>4007c338ea6804aa72bfd016abb78df1f396012d3afaaf40b14d53c7176575c1</t>
  </si>
  <si>
    <t>d9d2ed3eba15fcfd48fab2ff69d4a55a1cd2fcd174a5d117c9f09f34442aeade</t>
  </si>
  <si>
    <t>Payment WWW PAYMENT - 1618 NORTH BAY WAT</t>
  </si>
  <si>
    <t>64eff52d89ccd4e089c63b0727f3c12e6fc400b620966d7913bc54d33e3ee1f8</t>
  </si>
  <si>
    <t>8f4775f6164b7dbf1046c98c6de5732ceb7c4ead0723a742a22d5c361e6ad877</t>
  </si>
  <si>
    <t>e31308ea02ac5b319c54132ee602d40b7489a9490b62a56ae9f055916943f8c9</t>
  </si>
  <si>
    <t>19ad6b25151422c2444ce604bc4dbf1fb44ce1630fe9fa3bdbcef44056f5b1b1</t>
  </si>
  <si>
    <t>484253abc5e64a7c2a2e03b0abfc0eec544614d8ffd64ccd6aee90ba62465439</t>
  </si>
  <si>
    <t>8628242a2e204bfc96b6f6e7617985249c1873183416c7bfab8b5feb26037bf5</t>
  </si>
  <si>
    <t>0540924186f4cc00dc3da4ba25b95415e9e414cf0c29cb4215638366fac89fcf</t>
  </si>
  <si>
    <t xml:space="preserve">SHELL C80045 SAINT-HELENE-QC </t>
  </si>
  <si>
    <t>9165806c83b307c615e54d13ece3df3dc8b26a85544f8cccd50e7c94bd1273fe</t>
  </si>
  <si>
    <t>63c74fdd422b23c45e80d5c6d0bcc42d3c9b08ac1b72d46178f5cce6cf23bcc0</t>
  </si>
  <si>
    <t>c02f04c910890864878dcf13b32a9d4d94718aac195dec22ae764af4fd33b916</t>
  </si>
  <si>
    <t xml:space="preserve">COUCHE-TARD #1116 ST-LIBOIRE QC </t>
  </si>
  <si>
    <t>081278c75918a191c785806e40fa3383be2fb3f4abdb67fb6ef57439c5ddd518</t>
  </si>
  <si>
    <t xml:space="preserve">TIM HORTONS #9414 COBDEN ON </t>
  </si>
  <si>
    <t>803af0e49fdff607674565d12d311e4f00356ed0f6e95b61a57a233e513096e4</t>
  </si>
  <si>
    <t xml:space="preserve">SAQ33556 CABANO TEMISCOUATA-SQC </t>
  </si>
  <si>
    <t>8a44d6e90c80bbb0dd5e32918840dc88e6ec5dbd4b4390d3a73691f9cfc5a3dd</t>
  </si>
  <si>
    <t xml:space="preserve">SHELL C60341 CABANO QC </t>
  </si>
  <si>
    <t>787b7b290cf1d24ea7eafc89bde20dc1314d81a01eb88c21bfadcfbe83ac21dd</t>
  </si>
  <si>
    <t>6db6fca4b997838ed0469408522171938aa71e76ff067c6fc06c8a434f4cfab0</t>
  </si>
  <si>
    <t xml:space="preserve">TIM HORTONS #1845 BATHURST NB </t>
  </si>
  <si>
    <t>2ef56dc85f3b94d6af105407badb5754c33b4df9d4121032e85f3656f939bd7d</t>
  </si>
  <si>
    <t xml:space="preserve">NEEDS 4437 BATHURST NB </t>
  </si>
  <si>
    <t>59c900462b5dba8619ec5349e571e0fa62c6e1d22f23b152fc3fd958081231f3</t>
  </si>
  <si>
    <t xml:space="preserve">MTY GROUP / BONAPP/PIZ SAINT-LAURENTQC </t>
  </si>
  <si>
    <t>d69e902b05790ee1b38729f208c374e6b9fbcaa15f7ac4600d493bcc67761f35</t>
  </si>
  <si>
    <t xml:space="preserve">CIRCLE K #2138- P SAINT-LOUIS NB </t>
  </si>
  <si>
    <t>af75046b038ac44a0557dd8bb06d94f64899daa66f4e2bd479523e8df49f5189</t>
  </si>
  <si>
    <t xml:space="preserve">SQ *SUSSEX ALE WORKS TAPRSussex NB </t>
  </si>
  <si>
    <t>69a022e57c1082a7b7ad4deef6f747f743aebcfe8c5400bef743f0b3a946081f</t>
  </si>
  <si>
    <t>6f1cd40da5613559f5db71d47b35bdb997a1c5a818cf66d4d090970f3ffa960e</t>
  </si>
  <si>
    <t>801c0c90147631b9f15912cbb86f87e87a659861e81cce39f1d1f01e638598c8</t>
  </si>
  <si>
    <t xml:space="preserve">SEASIDE GRILL RESTAURA Rexton NB </t>
  </si>
  <si>
    <t>e9b11215ba96db2daddad1d57d84e758e261a7d811d81072ecf315a145039828</t>
  </si>
  <si>
    <t xml:space="preserve">LES MARCHES TRADITION SAINT-LOUIS-DNB </t>
  </si>
  <si>
    <t>d835c5dbd06993ed6939cd74c29e31790350c0a466ddf33396ad109c916b3bcd</t>
  </si>
  <si>
    <t xml:space="preserve">PETRO-CANADA 14276 ST ANTONIN QC </t>
  </si>
  <si>
    <t>3df03df1dc2a1006fd9b974ceb589ca00b4385186164916d0d63321c74a358e2</t>
  </si>
  <si>
    <t xml:space="preserve">COUCHE-TARD # 1250 MONTREAL QC </t>
  </si>
  <si>
    <t>194ad3fae3d35d112539f081ea05c52bc1e7d30d97ef1770de352fc3389c904c</t>
  </si>
  <si>
    <t xml:space="preserve">IRVING STATION #15902 SAINTE-ANNE-DNB </t>
  </si>
  <si>
    <t>ec013911c8a2167b141ac300021c6d7159d0daf62dc343337d85afcdeb727522</t>
  </si>
  <si>
    <t xml:space="preserve">NAYAX CANADA INC MASTER FREDERICTON NB </t>
  </si>
  <si>
    <t>a93c75d7c10c865cddb52f49c03a58cd996888c0e0e3b07d7215c14aaa64cba1</t>
  </si>
  <si>
    <t>c783392bc56dfb361dc1a98684be039b801402ae8544ef9bc60f0aeceb7c7c40</t>
  </si>
  <si>
    <t xml:space="preserve">SUSHI ST-DENIS MONTREAL QC </t>
  </si>
  <si>
    <t>850b7c0f34af2655fca7b1ff31c2a685b50db7d2871621ebd19ea54a1a414d35</t>
  </si>
  <si>
    <t>ffef2a16c2babe5d151b86d0a7b95e4c8c83de396c069fc6725f3d97117e44d1</t>
  </si>
  <si>
    <t>e032c803884f67291d7241ded78fc0ecf120a0b100744e93e9da3747d62a8447</t>
  </si>
  <si>
    <t xml:space="preserve">La Grande Roue de MontreaVANCOUVER BC </t>
  </si>
  <si>
    <t>4cb99f92b4ee11dab0fe1c511ebf293b262d8974e95646df03ce117ecbb7e8b3</t>
  </si>
  <si>
    <t xml:space="preserve">RESTAURANT BASHA MONTREAL QC </t>
  </si>
  <si>
    <t>f825a7677f2dbb1adea90e4360c2c1cb2f2eda3992307f52d3e8dd4c045ae866</t>
  </si>
  <si>
    <t xml:space="preserve">PISTACHIO MONTREAL QC </t>
  </si>
  <si>
    <t>791ea9c10a03bd5bf32c96d8d3e9777608aa482358bb7dd16d5bf747a1f96c83</t>
  </si>
  <si>
    <t xml:space="preserve">GARE CENTRALE/19907005 MONTREAL QC </t>
  </si>
  <si>
    <t>d3602889315a3cbc88b190b88ff5ada680aaeb08adcb634cf04f46031d92062d</t>
  </si>
  <si>
    <t xml:space="preserve">GARE CENTRALE/20097013 MONTREAL QC </t>
  </si>
  <si>
    <t>f729b7a1e7b3344e2f768af056d8c254935dec4452b859067667091c29569da9</t>
  </si>
  <si>
    <t>f0d3e032c2ecd0725e48314a4cbab9fb146a3db880e94f26e0c9490c9a806a7d</t>
  </si>
  <si>
    <t xml:space="preserve">BURGER KING # 24340 MONTREAL QC </t>
  </si>
  <si>
    <t>54a8aa2911ec8ed44b6982b48a17d1a8afd9ad5ee8fa78cba029c999db9976a7</t>
  </si>
  <si>
    <t xml:space="preserve">PARC INDIGO M129 MONTREAL QC </t>
  </si>
  <si>
    <t>3699e9f93e80809340eaa2ec931290b1401039f148a03cc6a6247ab783ae9aba</t>
  </si>
  <si>
    <t xml:space="preserve">JONSSON'S YIG 7915 SMITHS FALLS ON </t>
  </si>
  <si>
    <t>1408beb4601aaeb2b6ed2fb10cc7c8115fe98a79c8dfb247a5fdd06f9514dcc0</t>
  </si>
  <si>
    <t xml:space="preserve">SHELL C04483 OTTAWA ON </t>
  </si>
  <si>
    <t>adb5b3c07e2faf30a8be52d0bf506bdf6e6c1926ccdff4423d87f1446ef32c29</t>
  </si>
  <si>
    <t>0b1a1a689717651edbe591e9ef7a6f8e0692cce51012b7cf0483728988664673</t>
  </si>
  <si>
    <t>5a95b773202ea847425396fc5a8fb18465cfaf95cba9addab7446fed9b8e61f0</t>
  </si>
  <si>
    <t>fe3f53214743489b77f10b3582d345fbf475060142c1742db1520ab8ff35d475</t>
  </si>
  <si>
    <t>e2bd2375ce082ec152e8bf10134cccc5ed532cf7776350b427a1f1eb0409f14f</t>
  </si>
  <si>
    <t xml:space="preserve">THE BIG APPLE INC. POS Colborne ON </t>
  </si>
  <si>
    <t>6b645043486ba335442be2a2c59e367372ca246b98e267a5dc4050e7e09e2c69</t>
  </si>
  <si>
    <t xml:space="preserve">A&amp;W #4453 HUNTSVILLE ON </t>
  </si>
  <si>
    <t>c068b31bb20edd53a9064334dceffa343d3ba50396f2cefb6af00143bc4a4d3c</t>
  </si>
  <si>
    <t xml:space="preserve">401 CIDER BREWERY POS COLBORNE ON </t>
  </si>
  <si>
    <t>dd2759f3a7aea990a7b1f097b1646b5792d6ed79c708ede7685cc6cdf4c10504</t>
  </si>
  <si>
    <t xml:space="preserve">ESSO CIRCLE K HUNTSVILLE ON </t>
  </si>
  <si>
    <t>194fa0d14cb7fd1bb4229a59fa052cba626cba6eec9b627d32454df7d89daa25</t>
  </si>
  <si>
    <t xml:space="preserve">AMZN Mktp CA*N44U885L0 866-216-1072 ON </t>
  </si>
  <si>
    <t>77110a876df7eeb9b6fda1901180f699e78e3c00733afc91fd2bd99d004ec95e</t>
  </si>
  <si>
    <t xml:space="preserve">TIM HORTONS #1041 SEVERN ON </t>
  </si>
  <si>
    <t>a7268261058c1c9a555c011a3171e7cf93e9af280e682922d5b269e575496db7</t>
  </si>
  <si>
    <t>49b1bf8329d4cf30da9edb9a27e9622aa44632b5926d81bd377f0556a6448d43</t>
  </si>
  <si>
    <t>54c0161714ac25d7d4a2ff959c7073349572956e2fdbb060136db0af5708dd4e</t>
  </si>
  <si>
    <t xml:space="preserve">WACKYS EAT DRINK GAME ON NORTH BAY ON </t>
  </si>
  <si>
    <t>988533d5e6ae9e8ad4758adb4fdb18dd8b3e0c7d88a3ba6e99824fe8fa14f5e4</t>
  </si>
  <si>
    <t>35a4a2eaf150bafa54817d58987a160e3ce4fa9d7a11663af92389e8c363a910</t>
  </si>
  <si>
    <t>ead35f081d99ece9150e96b04a6181f5995e1832177e75770da804889f6ebf4d</t>
  </si>
  <si>
    <t xml:space="preserve">WWW TRF DDA - 2710 </t>
  </si>
  <si>
    <t>2193d9ebbaee6356920aeb890c7237e783dca1aaf220e3f94bd3ec5457c2508c</t>
  </si>
  <si>
    <t>ebb91c4db74e3449670aa88fecea5a539b709ac65aa17b671c086e3625cf384a</t>
  </si>
  <si>
    <t>e1b10c7698c9e3d61b881f7526b9bc3645c37751fac77bab77c505eb8bd454b8</t>
  </si>
  <si>
    <t xml:space="preserve">BURGER WORLD HAMMOND S NORTH BAY ON </t>
  </si>
  <si>
    <t>e1342a71909651c9ddeac67f7ca37f9070141cee68ac882b209dad7b9d4f32ee</t>
  </si>
  <si>
    <t xml:space="preserve">AMZN Mktp CA*N43MV7WP1 866-216-1072 ON </t>
  </si>
  <si>
    <t>28dd297248f051328ae263c501a936a009cc6149d7fdf4855d0b1cf1aec305f6</t>
  </si>
  <si>
    <t xml:space="preserve">WWW TRF DDA - 4532 </t>
  </si>
  <si>
    <t>b700438ccc08f3de573d8be46fb76d9e236baee555a508a187740ee8bc1cbe8d</t>
  </si>
  <si>
    <t>c0fc0cf986f3672ddf7c7722418bd0ea11b78c853fc6300da35f85bbdb329c3f</t>
  </si>
  <si>
    <t>382a50c58d6f1315b8a1b8708fb23709e48e83e96a9618480b817c41551de1da</t>
  </si>
  <si>
    <t>8a48027bc3cc6e04fd1b44e22714774b9d48579075d7c418cc384787a75b4183</t>
  </si>
  <si>
    <t>436ad13fe66d632c9b3f17b4d583ac2e9699f925df712ce7b560c93484293d04</t>
  </si>
  <si>
    <t>1a87d1534f6f46ed3fb9c255a1820534bbf936a8f0176a9bb31179bb85d7c1b1</t>
  </si>
  <si>
    <t xml:space="preserve">AMZN Mktp CA*NK8B64412 866-216-1072 ON </t>
  </si>
  <si>
    <t>2abf3c7489965c021fbb8e68b902dba5ec250d081b5f2e3f565d02dfd0348b03</t>
  </si>
  <si>
    <t>96b7f4bd97baeb8c9dd69c087e8069a6ac92892151f134c5050526e7431f0220</t>
  </si>
  <si>
    <t>bbb6970b0dcf47159fb073e629a9c44852a0838f726bf771ce4f43bc2216005d</t>
  </si>
  <si>
    <t>b14fdb49b8174d77489b05a4e5469653536095bae0655ceebdbe9834cb48820c</t>
  </si>
  <si>
    <t xml:space="preserve">WWW TRF DDA - 2323 </t>
  </si>
  <si>
    <t>d78bb0cdf08a6fdf101abfa8f9e4a0932e7f81420c40b3a401f73ed2735d6f78</t>
  </si>
  <si>
    <t xml:space="preserve">WWW TRF DDA - 7794 </t>
  </si>
  <si>
    <t>18dcc311d75ec0074efe6f3c355fd70e9f4d2a2890af3bbe5dd3ca57dcfbd36a</t>
  </si>
  <si>
    <t xml:space="preserve">WWW TRF DDA - 0221 </t>
  </si>
  <si>
    <t>97e36fa4b103ca34fd7744a042f5713b8aebf36c0298324083340469babc42b3</t>
  </si>
  <si>
    <t xml:space="preserve">Transfer WWW TRANSFER - 0221 </t>
  </si>
  <si>
    <t>5624cf5abd805ac15c723a9433deb7e2cefc15aa03d246ec3d328684d6a19e86</t>
  </si>
  <si>
    <t>b42dd7f6bcba43744749e42af0f8403b117d4ee25a0cea2828fa47c6b75566d0</t>
  </si>
  <si>
    <t xml:space="preserve">AMZN Mktp CA*NK6XF17J0 866-216-1072 ON </t>
  </si>
  <si>
    <t>rebalance from wknd trips</t>
  </si>
  <si>
    <t>steve etransfer for paul wknd</t>
  </si>
  <si>
    <t>365225f8e482f84d2cb31ea683b478efeb12e2c3ac66599c0e6292fc2b11b3b7</t>
  </si>
  <si>
    <t xml:space="preserve">Email Trfs Can E-TRANSFER CANCEL </t>
  </si>
  <si>
    <t>reverse of etransfer failure</t>
  </si>
  <si>
    <t>4fd59e8339a3662d72dfb052ee655f8b6e8497da463d5b82cba16800793e2670</t>
  </si>
  <si>
    <t xml:space="preserve">ZONEXAR QIROT LTD LONDON </t>
  </si>
  <si>
    <t>e5fcaad82a5eaa88eae08f02eb287bd06261fe4859474980a291292a3137f7cf</t>
  </si>
  <si>
    <t>00ee91de36ffedd0672493405e00d64c252587cea7de57083d82d21e9aaf7643</t>
  </si>
  <si>
    <t xml:space="preserve">Transfer WWW TRANSFER - 7103 </t>
  </si>
  <si>
    <t>3ace29b26c604069956410da147bce22be8d5ce9ba74e9bf3a26d03f88a08835</t>
  </si>
  <si>
    <t>599ac2f10a02d69d9c509f64ac6009091543b309877a12e714b223c82003c6d3</t>
  </si>
  <si>
    <t>89411e888d08c03bb9d5de651edcd271f679964ce242340f096b3b57ecff3657</t>
  </si>
  <si>
    <t xml:space="preserve">WWW TRF DDA - 4362 </t>
  </si>
  <si>
    <t>e544481399d9155592a82fb144edc793b13f006949261bab89f4237c2b5836f9</t>
  </si>
  <si>
    <t xml:space="preserve">Transfer WWW TRANSFER - 5797 </t>
  </si>
  <si>
    <t>steven payment from personal for BW lunch</t>
  </si>
  <si>
    <t>e774e9e6a6f3404bc3a56bd9dfd7544723178badfb4a8969147fa328a3db7358</t>
  </si>
  <si>
    <t xml:space="preserve">Transfer WWW TRANSFER - 7412 </t>
  </si>
  <si>
    <t>insurance payback for glasses</t>
  </si>
  <si>
    <t>d406f15f276eafb4b08c5349aa093745f364ff041d9cb13ada35e7dc804059b7</t>
  </si>
  <si>
    <t xml:space="preserve">Transfer WWW TRANSFER - 4701 </t>
  </si>
  <si>
    <t>the actual transaction for paul wknd</t>
  </si>
  <si>
    <t>4ff7107db763c78939caffc731516a1d6564bc915b9add4fd5b11b6fd8a05e3f</t>
  </si>
  <si>
    <t xml:space="preserve">WWW TRF DDA - 7103 </t>
  </si>
  <si>
    <t>07ab717bfe24fbc996d07509742b6150605c38aaa071e6b78b193eed84f9f4dd</t>
  </si>
  <si>
    <t xml:space="preserve">TELUS HEALTH SANTE VANCOUVER BC </t>
  </si>
  <si>
    <t>942f1c3e2ba95f5a8224b128dd5ca1cb4fb051825cb8be12e7159c01b0f7b032</t>
  </si>
  <si>
    <t xml:space="preserve">Amazon.ca*BT5ZW7451 866-216-1072 ON </t>
  </si>
  <si>
    <t>collagen</t>
  </si>
  <si>
    <t>dee428a58fcad62cbe70b76db60a772c356c90ca3bfac859ecbb72b0dd0c5f00</t>
  </si>
  <si>
    <t>48e0d58179db46c8d316e2a0d9453209f57446ae696226aa9b155524bd614552</t>
  </si>
  <si>
    <t>Payment WWW PAYMENT - 5399 NORTH BAY WAT</t>
  </si>
  <si>
    <t>7b4a8aca546aecbd112dc045626dac1f28906fa30a2d1ef46197809c17693335</t>
  </si>
  <si>
    <t>transfer to steve personel then to business account</t>
  </si>
  <si>
    <t>74829940a9f221f7db45341b28795ba7973ac3c159cf7ac2df695b6385403c10</t>
  </si>
  <si>
    <t>7324df1c841d62f4da350c7f3c6ba4e0038cf969bdc1768db373c9e6a0888e60</t>
  </si>
  <si>
    <t>61cbaf201cf134a2599f4ffe5e088088888ad2c8cffc01f65ac302b8658ede47</t>
  </si>
  <si>
    <t>f12414bb9637178902d278b6d17d7b3033d7c1e2a9b5e72e67fa7335401d879c</t>
  </si>
  <si>
    <t xml:space="preserve">WWW TRF DDA - 2974 </t>
  </si>
  <si>
    <t>Actual transasction for businss transfer</t>
  </si>
  <si>
    <t>73c4ac98e8e2310a9b4ce5ba4b8d4518422db4c97f6c9e31c478de815ee112af</t>
  </si>
  <si>
    <t>684f22255da7b9485131eb88f65d8d1831c62de0ebef1c541be5ff05b446ba19</t>
  </si>
  <si>
    <t>4aa9d970b7d5081d0273bd9b334e335c6bd1d95024c55479682c4af1e1f5f11e</t>
  </si>
  <si>
    <t>e8848c6af8a95c4164d65f81e1e5bfb697771a592f4ed837932e971ff829174d</t>
  </si>
  <si>
    <t>82d4acf15c8b3fa41a62b04ad7cd33ba8c6401b73ffd268f67c4f003010c40e9</t>
  </si>
  <si>
    <t>60f9ff862732faf0890a00e647755ec76f62b037b84ef232aeb1d922bd2a6625</t>
  </si>
  <si>
    <t>3103e5e9684522c60ac6d3b850535f414936def0ed61fe7f03421208d4c37325</t>
  </si>
  <si>
    <t>994db519eda5590940359decbabdba1644dd4600b756f202618b7d4730809bc9</t>
  </si>
  <si>
    <t>blake wedding run</t>
  </si>
  <si>
    <t>blake reinbursement for wedding run</t>
  </si>
  <si>
    <t>pending incoming etransfer, this is a palceholder</t>
  </si>
  <si>
    <t>2af2acf2e850a2e2e6172563339c166a6dd64220c4763187b32b1f5ebd565ed5</t>
  </si>
  <si>
    <t>94684e446f2ac9cde695172e6d5448007a0b3932139b575d9526dd04b1f7bab2</t>
  </si>
  <si>
    <t xml:space="preserve">PERKINS RESTAURANT &amp; BAK SUDBURY ON </t>
  </si>
  <si>
    <t>bafff0b742fad9a7b91404f0b22594b3feeeba623f9cba68615f57b6f27a8bae</t>
  </si>
  <si>
    <t xml:space="preserve">AARON GROUP SUDBURY ON </t>
  </si>
  <si>
    <t>15c214a58a55f46924658b085135f7a4781d23d2e08b9048781bae40cf609ec3</t>
  </si>
  <si>
    <t>56b2abd0ceb3a77bb97374b69d16fb30bc4667f04cf33c990859cbc06a8bbc64</t>
  </si>
  <si>
    <t>4e1b2c3972cfe00a7d4893a8bfb37fe95818f004a1c9a31e6829874a2fa69adb</t>
  </si>
  <si>
    <t>bc6f92d100539bf93610376ac6595d5a4a2fb44b6036454de569cb46468e9103</t>
  </si>
  <si>
    <t xml:space="preserve">Transfer WWW TRANSFER - 7600 </t>
  </si>
  <si>
    <t>selling snowblower</t>
  </si>
  <si>
    <t>003aba060d04e30f0ceada1fdc3e0c9423abeae3f4891bd452195c082c83a230</t>
  </si>
  <si>
    <t>5f3407042b62613d173a7fb1eb6a477b95d5ecade8e6d921778df2e9385ff1b7</t>
  </si>
  <si>
    <t>56ce6e56a7763b0a4f22305c95bda40946e03611750810eba97547ce11f6efd9</t>
  </si>
  <si>
    <t>6cb0351264dd403a34f4f62d2e988a42aa474987631f235c4b45dfce5cb2db48</t>
  </si>
  <si>
    <t xml:space="preserve">WWW TRF DDA - 4891 </t>
  </si>
  <si>
    <t>cash for wedding</t>
  </si>
  <si>
    <t>75499c526d4b2ce396e40b56c986fc52229ce5d5607d4886ab4003e21aefd3a8</t>
  </si>
  <si>
    <t>be65c1862824b5112925fa0b96c4dd4c0bdf64b9c9558a43269c43da39308435</t>
  </si>
  <si>
    <t>7cd249a62158bfd27020613e4b5c8c263126dde02441bd60c8b9d2eb69506c1c</t>
  </si>
  <si>
    <t>271d1d18ab41bc5794e4c4809a9c94423e71de2f64407831d5402a9d89c05042</t>
  </si>
  <si>
    <t>9160b29e444a577238d77ae5a63c2513b1e1082cfa006d7688bca430c7d4da6a</t>
  </si>
  <si>
    <t>48cbbb268d111e57c91c4cf88732c9285045816213d8034c51e1d8bfb1b4fd09</t>
  </si>
  <si>
    <t>ccfe80b8ef70d5b67e5cfcbc3ecac5ad86ec8188dfc874bc83d1a475e630b3b8</t>
  </si>
  <si>
    <t xml:space="preserve">THE BLOCK PUBLIC HOUSE NORTH BAY ON </t>
  </si>
  <si>
    <t>c481739df8bc8ffaa0085506d3b51e2618387644c45ce28d60b42e603e62ce64</t>
  </si>
  <si>
    <t xml:space="preserve">LEON S FURNITURE 167 NORTH BAY ON </t>
  </si>
  <si>
    <t>payout from accrual: couch</t>
  </si>
  <si>
    <t>c9f3a81bc9016586b6c31d03e6733457034403228bc54d99eeb6e4f9e72c5707</t>
  </si>
  <si>
    <t xml:space="preserve">028 BOATHOUSE NORTHGATE NORTH BAY ON </t>
  </si>
  <si>
    <t>fdf4ec6d26b867e7727c6b10e730976f80af0ce2b57f8b1bdc7b5c607dc0540d</t>
  </si>
  <si>
    <t xml:space="preserve">LONG &amp; MCQUADE PICKERING ON </t>
  </si>
  <si>
    <t>529cb7e697fd12882f4653aecfdfe39627b1245c54f13e32621b767841d45a88</t>
  </si>
  <si>
    <t>a01345d9e6dc019a9798a18a42ee6281dbfe0ebe2b2a0198d5deecd6addb76e6</t>
  </si>
  <si>
    <t>88bcc4227ace14ac258712fda2cc89ffc08b0780e64aa693fb9f38039368ce13</t>
  </si>
  <si>
    <t>7d168244d494b66ee1730b01afe8f5175219db327d46512f6db456ba467c018d</t>
  </si>
  <si>
    <t xml:space="preserve">KENZO HAMILTON HAMILTON ON </t>
  </si>
  <si>
    <t>05b7fcb432031b2a10707a285650e8ccc236868efa8c1e0a768d1fe96c10159b</t>
  </si>
  <si>
    <t>1666cd426c73c627e31bc404b69f093d756dbe416aad41c7768959a6711acccf</t>
  </si>
  <si>
    <t xml:space="preserve">GYM CANNA HAMILTON ON </t>
  </si>
  <si>
    <t>de2c37ed4a8fd9f2245993b00599e12f6c16baee5a8960a05999720b20c3aeba</t>
  </si>
  <si>
    <t xml:space="preserve">WAL-MART SUPERCENTER#1121HAMILTON ON </t>
  </si>
  <si>
    <t>63addf987a442a90fcf494a1225e9fe60930c7a98976675f97d0230817860b70</t>
  </si>
  <si>
    <t xml:space="preserve">AMZN Mktp CA*B091Y7RR1 866-216-1072 ON </t>
  </si>
  <si>
    <t>1216b93519ce1269b893f4c27de880d415701f608f1f0f2f9daa911575ca17ce</t>
  </si>
  <si>
    <t xml:space="preserve">OVG HOSPITALITY HAMILTON ON </t>
  </si>
  <si>
    <t>27abfa9e6923b5affe71d363a5860127022273c4391ebc1c42ae2d8de380f09c</t>
  </si>
  <si>
    <t xml:space="preserve">IMPARK00120042U 905-531-1402 ON </t>
  </si>
  <si>
    <t>5b87b6805767cb9762c1d4a0039105fff1d685027b3bbc63bfe5429b8f0518a2</t>
  </si>
  <si>
    <t xml:space="preserve">LCBO/RAO #0023 HAMILTON ON </t>
  </si>
  <si>
    <t>2df3fda1a8fa8a59b564ff422c5918447b54eb647e269f486dcdbc2932da856b</t>
  </si>
  <si>
    <t xml:space="preserve">HASTY MARKET HAMILTON ON </t>
  </si>
  <si>
    <t>8fc7e93652b3cede9a6f30c7dfdcf743d1fe3cb66715f0da19342b2237c293ed</t>
  </si>
  <si>
    <t xml:space="preserve">TIMBER CREEK MOBIL SEVERN ON </t>
  </si>
  <si>
    <t>1aebad2945afd937157ef38fd732afc37468846924285b7f02e35b0a879c1f87</t>
  </si>
  <si>
    <t>rebalance from house fund</t>
  </si>
  <si>
    <t>1268ddffdecac5017a82f856a4bf5f193f5ce09bfe55b67dc028d661284b07dc</t>
  </si>
  <si>
    <t>1c3c5a91df8c140c70f7d080ac544f82b7bb09bcce05746531b2ce93b45fd727</t>
  </si>
  <si>
    <t>d8ef8728bd893436ae52b59ef8dba11d2650d6d99c21d879d83ff10438708763</t>
  </si>
  <si>
    <t>82e7b8841a80be9819cfdcb799d587638d92cc75ddc90c88d8be921d35467709</t>
  </si>
  <si>
    <t>b9bb2a9a04100773f36dd76ee9e1125aae0cb77aff9c4cf26650095ff4eca10b</t>
  </si>
  <si>
    <t>c9b81ab199a896f21b112003091281db7c95c263f7e3f2683b3ac344e6a7de22</t>
  </si>
  <si>
    <t>1d3c631cbbcedba4ade2647670a4d963516ea6ec57dadbdab7752d4f2c349e74</t>
  </si>
  <si>
    <t>03182e0de407b1da69ab93645acbcafb030892935cd8fb544ed06ae31e21cb14</t>
  </si>
  <si>
    <t>82b315825a88801327a5835376ccdcb32ebccf52a29a9ec289c436bfb3145346</t>
  </si>
  <si>
    <t>6736b1df3b55008a1db3813b9a933fc7160d2a9a007c96b628dd6672ec6784c5</t>
  </si>
  <si>
    <t xml:space="preserve">TICKETMASTER CANADA HOST TORONTO ON </t>
  </si>
  <si>
    <t>Shared Savings</t>
  </si>
  <si>
    <t>steven rebursment for mario, frank, ashley, andre - tickets</t>
  </si>
  <si>
    <t>rebalnce from clothes</t>
  </si>
  <si>
    <t>rebalance to cats</t>
  </si>
  <si>
    <t>721908ae7f0f6533a544b0382ef3880cd7472e4167806f889e2a95f707b5478c</t>
  </si>
  <si>
    <t>84dc3f9846508562f436a882fa8e31e7801723f238432d99f636ce4c3a7295ed</t>
  </si>
  <si>
    <t>7cf3a943caae79d2ab12e783ebde024a2bbbac9c0a429403cee046935f8df045</t>
  </si>
  <si>
    <t xml:space="preserve">Payment WWW PAYMENT - 4583 407 ETR </t>
  </si>
  <si>
    <t>335a7048451ba0a7c94e34ea211b32ede310af9b8dbc6ae66b537d17bc57aa12</t>
  </si>
  <si>
    <t xml:space="preserve">Email Trfs E-TRANSFER RECEIVED </t>
  </si>
  <si>
    <t>8fc1a6815699ff93ba64b604189e85961bd3f011c6ad1221c95c8f8be36ecaa3</t>
  </si>
  <si>
    <t>Transfer between buckets aka enter paired rebalance transactions</t>
  </si>
  <si>
    <t>Expense</t>
  </si>
  <si>
    <t>Expenses</t>
  </si>
  <si>
    <t>BOM</t>
  </si>
  <si>
    <t>EOM</t>
  </si>
  <si>
    <t>Self Loan Repayment</t>
  </si>
  <si>
    <t>Month Start</t>
  </si>
  <si>
    <t>Year Start</t>
  </si>
  <si>
    <t>StartDate</t>
  </si>
  <si>
    <t>Month End</t>
  </si>
  <si>
    <t>Year End</t>
  </si>
  <si>
    <t>EndDate</t>
  </si>
  <si>
    <t>Match 1</t>
  </si>
  <si>
    <t>Match 2</t>
  </si>
  <si>
    <t>ALAN &amp; MICHELLE'S NF N</t>
  </si>
  <si>
    <t/>
  </si>
  <si>
    <t>AMZN Mktp</t>
  </si>
  <si>
    <t>AUTO INSURANCE</t>
  </si>
  <si>
    <t>AUTOMATIC PAYMENT - THANK YOU</t>
  </si>
  <si>
    <t>B.Y TAKE OUT NORTH BAY ON</t>
  </si>
  <si>
    <t>CDN TIRE STORE</t>
  </si>
  <si>
    <t>DEPOSIT INTEREST</t>
  </si>
  <si>
    <t>DOLLAR TREE</t>
  </si>
  <si>
    <t>DOLLARAMA</t>
  </si>
  <si>
    <t>DOMINOS PIZZA</t>
  </si>
  <si>
    <t>EAGLES NEST GAS BAR NORTH BAY ON</t>
  </si>
  <si>
    <t>Email Trfs</t>
  </si>
  <si>
    <t>ESSO</t>
  </si>
  <si>
    <t>E-TRF AUTODEPOSIT</t>
  </si>
  <si>
    <t>E-TRF REQFUL</t>
  </si>
  <si>
    <t>FIRE &amp; FLOWER NORTH BAY ON</t>
  </si>
  <si>
    <t>FIT4LESS NORTH BAY ON</t>
  </si>
  <si>
    <t>FOOD BASICS</t>
  </si>
  <si>
    <t>GALAXY CINEMAS</t>
  </si>
  <si>
    <t>GOOGLE</t>
  </si>
  <si>
    <t>HYDRO BILL PMT</t>
  </si>
  <si>
    <t>INSURANCE</t>
  </si>
  <si>
    <t xml:space="preserve">CANADALIFE </t>
  </si>
  <si>
    <t>INTEREST PAYMENT</t>
  </si>
  <si>
    <t>INVESTMENT</t>
  </si>
  <si>
    <t xml:space="preserve">IG FIN SER SFGI </t>
  </si>
  <si>
    <t>JOCKO POINT GEN7 LP NORTH BAY ON</t>
  </si>
  <si>
    <t>JOHNNY GS RESTAURANT WINNIPEG MB</t>
  </si>
  <si>
    <t>KOODO MOBILE</t>
  </si>
  <si>
    <t>LCBO</t>
  </si>
  <si>
    <t>LIFE INSURANCE</t>
  </si>
  <si>
    <t xml:space="preserve">CANLIFE-ING </t>
  </si>
  <si>
    <t>LOAN INTEREST</t>
  </si>
  <si>
    <t>Loan Pmt</t>
  </si>
  <si>
    <t>LOANPROTECTOR INSURANCE PREMIUM</t>
  </si>
  <si>
    <t>MAGNOTTA WINERY ESTATE SUDBURY ON</t>
  </si>
  <si>
    <t>MCDONALD</t>
  </si>
  <si>
    <t>MISC PAYMENT</t>
  </si>
  <si>
    <t xml:space="preserve">CITY OF NORTH B </t>
  </si>
  <si>
    <t xml:space="preserve">Fit4less </t>
  </si>
  <si>
    <t xml:space="preserve">MORTGAGE PAYMEN </t>
  </si>
  <si>
    <t xml:space="preserve">RBC CREDIT CARD </t>
  </si>
  <si>
    <t>MONTHLY FEE</t>
  </si>
  <si>
    <t>MR. SUB</t>
  </si>
  <si>
    <t>MUTUAL FUNDS</t>
  </si>
  <si>
    <t xml:space="preserve">SPECIAL DEPOSIT </t>
  </si>
  <si>
    <t>NORTH BAY REGIONAL HEALTH705-495-8125 ON</t>
  </si>
  <si>
    <t>OD INTEREST</t>
  </si>
  <si>
    <t>OD PROTECTION FEE</t>
  </si>
  <si>
    <t>PARKN FLY</t>
  </si>
  <si>
    <t>Payment</t>
  </si>
  <si>
    <t>PAYMENT - THANK YOU / PAIEMENT - MERCI</t>
  </si>
  <si>
    <t>PAYROLL DEPOSIT</t>
  </si>
  <si>
    <t xml:space="preserve">ClaimSecure Inc </t>
  </si>
  <si>
    <t xml:space="preserve">Thinking Big In </t>
  </si>
  <si>
    <t>PETRO CANADA</t>
  </si>
  <si>
    <t>PROPERTY INSURANCE</t>
  </si>
  <si>
    <t xml:space="preserve">ALLSTATE INS. </t>
  </si>
  <si>
    <t>REXALL PHARMACY</t>
  </si>
  <si>
    <t>SAFEWAY</t>
  </si>
  <si>
    <t>SERVICE FEE</t>
  </si>
  <si>
    <t>SOBEYS</t>
  </si>
  <si>
    <t>SPORTSCUT NORTH BAY ON</t>
  </si>
  <si>
    <t>SQ *GOOD GLAZE DOUGHNUTS</t>
  </si>
  <si>
    <t>THE HOME DEPOT</t>
  </si>
  <si>
    <t>THE MASSAGE THERAPY CLININORTH BAY ON</t>
  </si>
  <si>
    <t>TIM HORTONS</t>
  </si>
  <si>
    <t>Transfer</t>
  </si>
  <si>
    <t>UTILITY BILL PMT</t>
  </si>
  <si>
    <t xml:space="preserve">Enbridge Gas </t>
  </si>
  <si>
    <t>VIRGIN PLUS VERDUN QC</t>
  </si>
  <si>
    <t>Vistaprint</t>
  </si>
  <si>
    <t>WAL-MART SUPERCENTER</t>
  </si>
  <si>
    <t>WWW PMT</t>
  </si>
  <si>
    <t>WWW TFR</t>
  </si>
  <si>
    <t>WWW TRF</t>
  </si>
  <si>
    <t>LYNX</t>
  </si>
  <si>
    <t>FESTIVAL</t>
  </si>
  <si>
    <t>WDW</t>
  </si>
  <si>
    <t>TOPPER'S PIZZA</t>
  </si>
  <si>
    <t>PETS</t>
  </si>
  <si>
    <t>SKIPTHEDISHES</t>
  </si>
  <si>
    <t>POPEYES</t>
  </si>
  <si>
    <t>LUCKYS RESTAURANT</t>
  </si>
  <si>
    <t>RED ROOF INN 0680 WYTHEVILLE VA</t>
  </si>
  <si>
    <t>86.00 USD @ 1.387300000000</t>
  </si>
  <si>
    <t>CANADIAN TIRE GAS BAR</t>
  </si>
  <si>
    <t>STARBUCKS 70917 GROVE CITY PA</t>
  </si>
  <si>
    <t>14.31 USD @ 1.394800000000</t>
  </si>
  <si>
    <t>GO MART #92 GASSAWAY WV</t>
  </si>
  <si>
    <t>32.58 USD @ 1.384200000000</t>
  </si>
  <si>
    <t>GO MART #96 WYTHEVILLE VA</t>
  </si>
  <si>
    <t>10.80 USD @ 1.387900000000</t>
  </si>
  <si>
    <t>HARDEES 2906 WYTHEVILLE VA</t>
  </si>
  <si>
    <t>26.02 USD @ 1.387300000000</t>
  </si>
  <si>
    <t>RED ROOF INN 0680 708-9410062 VA</t>
  </si>
  <si>
    <t>50.00 USD @ 1.311600000000</t>
  </si>
  <si>
    <t>QT 1176 INSIDE CAYCE SC</t>
  </si>
  <si>
    <t>5.19 USD @ 1.387200000000</t>
  </si>
  <si>
    <t>QT 1176 OUTSIDE CAYCE SC</t>
  </si>
  <si>
    <t>32.64 USD @ 1.384100000000</t>
  </si>
  <si>
    <t>ORMOND GARAGE ORMOND BEACH FL</t>
  </si>
  <si>
    <t>50.06 USD @ 1.384300000000</t>
  </si>
  <si>
    <t>ABC FINE WINE/SPIRITS 210TALLAHA</t>
  </si>
  <si>
    <t>122.59 USD @ 1.384300000000</t>
  </si>
  <si>
    <t>JIMMY HULAS - ORMOND ORMOND BEAC</t>
  </si>
  <si>
    <t>24.18 USD @ 1.384600000000</t>
  </si>
  <si>
    <t>WALGREENS 0774 ORMOND BEACH FL</t>
  </si>
  <si>
    <t>PUBLIX #1755 ORMOND BEACH FL</t>
  </si>
  <si>
    <t>43.57 USD @ 1.419500000000</t>
  </si>
  <si>
    <t>SQ *OCEAN CLUB Ormond Beach FL</t>
  </si>
  <si>
    <t>6.38 USD @ 1.421600000000</t>
  </si>
  <si>
    <t xml:space="preserve">TST* LULUS OCEANSIDE GRILOrmond </t>
  </si>
  <si>
    <t>107.84 USD @ 1.418500000000</t>
  </si>
  <si>
    <t>Cracker Barrel 800-3339963 TN</t>
  </si>
  <si>
    <t>21.17 USD @ 1.422700000000</t>
  </si>
  <si>
    <t>FLYING J 713 LATTA SC</t>
  </si>
  <si>
    <t>32.39 USD @ 1.422900000000</t>
  </si>
  <si>
    <t>SUPER 8 MOTELS GARYSBURG NC</t>
  </si>
  <si>
    <t>91.33 USD @ 1.422800000000</t>
  </si>
  <si>
    <t>RACETRAC661 00006619 ORMOND BEAC</t>
  </si>
  <si>
    <t>36.13 USD @ 1.424000000000</t>
  </si>
  <si>
    <t xml:space="preserve">CHICK-FIL-A #01948 JACKSONVILLE </t>
  </si>
  <si>
    <t>20.63 USD @ 1.418300000000</t>
  </si>
  <si>
    <t>ROCAR MOBILITY LLC HTTPSROCARMOB</t>
  </si>
  <si>
    <t>15.89 USD @ 1.422900000000</t>
  </si>
  <si>
    <t>16.30 USD @ 1.422600000000</t>
  </si>
  <si>
    <t xml:space="preserve">Subway </t>
  </si>
  <si>
    <t>21.76 USD @ 1.422700000000</t>
  </si>
  <si>
    <t>WENDY'S 191-23 WILLIAMSPORT PA</t>
  </si>
  <si>
    <t>16.94 USD @ 1.423800000000</t>
  </si>
  <si>
    <t>HCW FOODSERVICE/RETAIL HERSHEY P</t>
  </si>
  <si>
    <t>12.65 USD @ 1.422100000000</t>
  </si>
  <si>
    <t>14.40 USD @ 1.422200000000</t>
  </si>
  <si>
    <t>SHELL OIL 57543575906 GAITHERSBU</t>
  </si>
  <si>
    <t>2.75 USD @ 1.418100000000</t>
  </si>
  <si>
    <t>37.07 USD @ 1.424300000000</t>
  </si>
  <si>
    <t>BUDGET INN WILLIAMSPORT PA</t>
  </si>
  <si>
    <t>64.38 USD @ 1.424200000000</t>
  </si>
  <si>
    <t xml:space="preserve">60376 - 1625 EYE ST. WASHINGTON </t>
  </si>
  <si>
    <t>25.00 USD @ 1.422800000000</t>
  </si>
  <si>
    <t xml:space="preserve">PREMIER WINES &amp; SPIRITS AMHERST </t>
  </si>
  <si>
    <t>219.56 USD @ 1.424300000000</t>
  </si>
  <si>
    <t>SUBWAY (HYBRID) KING CITY ON</t>
  </si>
  <si>
    <t>NF BRIDGE COMMISSION R NIAGARA FALLSON</t>
  </si>
  <si>
    <t>ONROUTE KING CITY ON</t>
  </si>
  <si>
    <t>EXXON DANSVILLE VILLAGE MDANSVIL</t>
  </si>
  <si>
    <t>32.89 USD @ 1.424100000000</t>
  </si>
  <si>
    <t>ONROUTE KING CITY 400 #11KING CITY ON</t>
  </si>
  <si>
    <t>ANCHOR BAR RESTAURANT BUFFALO NY</t>
  </si>
  <si>
    <t>48.92 USD @ 1.424100000000</t>
  </si>
  <si>
    <t>10.88 USD @ 1.423700000000</t>
  </si>
  <si>
    <t>TRADER JOE S #536 AMHERST NY</t>
  </si>
  <si>
    <t>85.04 USD @ 1.424200000000</t>
  </si>
  <si>
    <t>PRETTYLITTER OTTAWA ON</t>
  </si>
  <si>
    <t>TRANSAT/69407431 MISSISSAUGA ON</t>
  </si>
  <si>
    <t>Amazon.ca*RH3W14RH2 AMAZON.CA ON</t>
  </si>
  <si>
    <t>LITTLE CAESARS #5132-0001NORTH BAY ON</t>
  </si>
  <si>
    <t>TREASURE HUNT NORTH BAY ON</t>
  </si>
  <si>
    <t>DR MEGAN SEARS OPTOMETRY NORTH BAY ON</t>
  </si>
  <si>
    <t>DAYS INNS/DAYSTOP NIAGARA FALLSON</t>
  </si>
  <si>
    <t>Walgreens 10928 BEAVER WV</t>
  </si>
  <si>
    <t>10.61 USD @ 1.393900000000</t>
  </si>
  <si>
    <t>Subway 5368 North Bay ON</t>
  </si>
  <si>
    <t>TRUE CENTRE AUTO SERVICE</t>
  </si>
  <si>
    <t>MARIPOSA MARKET ORILLIA ON</t>
  </si>
  <si>
    <t>CIRCLE K #1738 ORILLIA ON</t>
  </si>
  <si>
    <t>COUCHICHING COURT RAMA ON</t>
  </si>
  <si>
    <t>CARQUEST NORTH BAY NORTH BAY ON</t>
  </si>
  <si>
    <t>CANADIAN TIRE #</t>
  </si>
  <si>
    <t>CANADIAN TIRE #072 NORTH BAY ON</t>
  </si>
  <si>
    <t>IVAN'S RESTAURANT NORTH BAY ON</t>
  </si>
  <si>
    <t>SHELL C05445 NORTH BAY ON</t>
  </si>
  <si>
    <t>E-Z*PASSNY TOLLBYMAIL 800-333-86</t>
  </si>
  <si>
    <t>2.24 USD @ 1.392800000000</t>
  </si>
  <si>
    <t>Kindle Svcs www.Amazon.caON</t>
  </si>
  <si>
    <t>MILANO PIZZA &amp; WING NORTH BAY ON</t>
  </si>
  <si>
    <t>BURGER WORLD NORTH BAY ON</t>
  </si>
  <si>
    <t>Starlink Internet Halifax NS</t>
  </si>
  <si>
    <t>MACEWEN - SEYMOUR (210 NORTH BAY ON</t>
  </si>
  <si>
    <t>CITY OF NORTH BAY CSC NORTH BAY ON</t>
  </si>
  <si>
    <t>GIANT TIGER #251 NORTH BAY ON</t>
  </si>
  <si>
    <t>THE BEER STORE #3503 NORTH BAY ON</t>
  </si>
  <si>
    <t>SP ECOFLOW CA VANCOUVER BC</t>
  </si>
  <si>
    <t>BR TO BR - 3452</t>
  </si>
  <si>
    <t>BONUS DEP INT</t>
  </si>
  <si>
    <t>THE BRAILLE SUPERSTORE ABBOTSFORD BC</t>
  </si>
  <si>
    <t>WACKY WINGS NORTH BAY NORTH BAY ON</t>
  </si>
  <si>
    <t>PlayStation Network 207-8595714 CA</t>
  </si>
  <si>
    <t>Chordify Groningen</t>
  </si>
  <si>
    <t>UBER CANADA/UBERTRIP TORONTO ON</t>
  </si>
  <si>
    <t>COCINA MEXICANA BARRIE ON</t>
  </si>
  <si>
    <t>BEERTOWN BARRIE BARRIE ON</t>
  </si>
  <si>
    <t>FX CREDIT ADJUSTMENT</t>
  </si>
  <si>
    <t>EDMUNSTON SUPERSTORE # EDMUNDSTON NB</t>
  </si>
  <si>
    <t>ATLANTIC SUPERSTORE WE CHARLOTTETOWNPE</t>
  </si>
  <si>
    <t>COWS QUEEN STREET CHARLOTTETOWNPE</t>
  </si>
  <si>
    <t>ATLANTIC SUPERSTORE CH CHARLOTTETOWNPE</t>
  </si>
  <si>
    <t>EAST ROYALTY COUNTRY STYLCHARLOTTETOWNPE</t>
  </si>
  <si>
    <t>CONFEDERATION CENTRE OF TCHARLOTTETOWNPE</t>
  </si>
  <si>
    <t>THE CHARLOTTETOWN FILM 902-368-3669 PE</t>
  </si>
  <si>
    <t>VESEYS YORK PE</t>
  </si>
  <si>
    <t>NOTABLES BY PEI LIQUOR CHARLOTTETOWNPE</t>
  </si>
  <si>
    <t>SLAYMAKER &amp; NICHOLS CHARLOTTETOWNPE</t>
  </si>
  <si>
    <t>RED ISLAND CIDER CHARLOTTETOWNPE</t>
  </si>
  <si>
    <t>THE GAHAN HOUSE CHARLOTTETOWNPE</t>
  </si>
  <si>
    <t>THE OLD TRIANGLE IRISH ALCHARLOTTETOWNPE</t>
  </si>
  <si>
    <t>CANADIAN TIRE #020 CHARLOTTETOWNPE</t>
  </si>
  <si>
    <t>MAID MARIANS DINER CHARLOTTETOWNPE</t>
  </si>
  <si>
    <t>K &amp; A'S DAIRY BAR TAKE-BELFAST PE</t>
  </si>
  <si>
    <t>MIKE &amp; ANDREEA'S NF #3 STRATFORD PE</t>
  </si>
  <si>
    <t>SQ *POINT PRIM LIGHTHOUSEBelfast PE</t>
  </si>
  <si>
    <t>ANNE OF GREEN GABLES MUSEPARK CORNER PE</t>
  </si>
  <si>
    <t>STARLIT DINER &amp; DAIRY BA SUMMERSIDE PE</t>
  </si>
  <si>
    <t>FAMILY &amp; FRIENDS RESTAURAKENSINGTON PE</t>
  </si>
  <si>
    <t>ULTRAMAR #12602 MOUNT STEWARTPE</t>
  </si>
  <si>
    <t>SQ *HOLY COW BURGERS &amp; WIMorell PE</t>
  </si>
  <si>
    <t>PRINCE EDWARD ISLAND BREWCHARLOTTETOWNPE</t>
  </si>
  <si>
    <t>ROBINS DONUTS #5085 MT STEWART PE</t>
  </si>
  <si>
    <t>SOURIS LIQUOR STORE #2 SOURIS PE</t>
  </si>
  <si>
    <t>MACPHEE'S MARKET SAVEE SOURIS PE</t>
  </si>
  <si>
    <t>Naturally Yours Souris LSOURIS PE</t>
  </si>
  <si>
    <t>PEI CMC CHARLOTTETOWNPE</t>
  </si>
  <si>
    <t>THE CHARLOTTETOWN FILM CHARLOTTETOWNPE</t>
  </si>
  <si>
    <t>OLD NAVY 3433 CHARLOTTETOWNPE</t>
  </si>
  <si>
    <t>GAP OUTLET 2428 CHARLOTTETOWNPE</t>
  </si>
  <si>
    <t>BLACK &amp; WHITE CONVENIENCECHARLOTTETOWNPE</t>
  </si>
  <si>
    <t>Withdrawal</t>
  </si>
  <si>
    <t xml:space="preserve">PTB WD --- DA818629 </t>
  </si>
  <si>
    <t>TAX REFUND</t>
  </si>
  <si>
    <t xml:space="preserve">CANADA </t>
  </si>
  <si>
    <t>FED CLIMATE INCENT</t>
  </si>
  <si>
    <t>NORTHERN SECURITY NORTH BAY ON</t>
  </si>
  <si>
    <t>SQ *ALL POINTS EAST CAMPGSouris PE</t>
  </si>
  <si>
    <t>EAST POINT LIGHTHOUSE CRAELMIRA PE</t>
  </si>
  <si>
    <t>THE LUCKY BEAN CAFE MONTAGUE PE</t>
  </si>
  <si>
    <t>WILD IMPULSE ADULT NOV CHARLOTTETOWNPE</t>
  </si>
  <si>
    <t>OAK TREE LIQUOR STORE CHARLOTTETOWNPE</t>
  </si>
  <si>
    <t>BUNS &amp; THINGS BAKERY CHARLOTTETOWNPE</t>
  </si>
  <si>
    <t>BURGER KING</t>
  </si>
  <si>
    <t>CANADIAN POTATO MUSEUM O'LEARY PE</t>
  </si>
  <si>
    <t>SQ *WEST POINT LIGHTHOUSEO'Leary PE</t>
  </si>
  <si>
    <t>ELMSDALE CORNER GAS CO ELMSDALE PE</t>
  </si>
  <si>
    <t>BERNARD'S QUIK MART SUMMERSIDE PE</t>
  </si>
  <si>
    <t>SUMMERSIDE DISCOUNTERS SUMMERSIDE PE</t>
  </si>
  <si>
    <t>DOMINO'S PIZZA #10951 902-888-2088 PE</t>
  </si>
  <si>
    <t>ESSO COUCHE-TARD 2343 SUMMERSIDE PE</t>
  </si>
  <si>
    <t>SHADDY'S SHAWARMA PALA CHARLOTTETOWNPE</t>
  </si>
  <si>
    <t>EAST POINT LIGHTHOUSE EAST POINT PE</t>
  </si>
  <si>
    <t>SQ *THE FIDDLING FISHERMASouris PE</t>
  </si>
  <si>
    <t>BIG BURGER CHARLOTTETOWNPE</t>
  </si>
  <si>
    <t>DELTA PRINCE EDWARD F&amp; CHARLOTTETOWNPE</t>
  </si>
  <si>
    <t>SQ *MC LEANS PEI POTATO FCharlottetownPE</t>
  </si>
  <si>
    <t>SQ *PRETZEL, PINT &amp; PICKLCharlottetownPE</t>
  </si>
  <si>
    <t>UPSTREET CRAFT BREWERY CHARLOTTETOWNPE</t>
  </si>
  <si>
    <t>PONY BOAT CHARLOTTETOWNPE</t>
  </si>
  <si>
    <t>HOLIDAY HAVEN CHARLOTTETOWNPE</t>
  </si>
  <si>
    <t>GOOD'S YIG #1636 CORNWALL PE</t>
  </si>
  <si>
    <t>ROYAL GARDEN CHINESE CORNWALL PE</t>
  </si>
  <si>
    <t>LS BASS COVE LTD. CORNWALL PE</t>
  </si>
  <si>
    <t>STRAIT CROSSING BRIDGE BORDEN PE</t>
  </si>
  <si>
    <t>COWS CREAMERY</t>
  </si>
  <si>
    <t>COWS CREAMERY CHARLOTTETOWNPE</t>
  </si>
  <si>
    <t>CORNWALL QUICK STOP CORNWALL PE</t>
  </si>
  <si>
    <t>BOSTON PIZZA #437 PEMBROKE ON</t>
  </si>
  <si>
    <t>WILD PREDATOR NORTH BAY ON</t>
  </si>
  <si>
    <t>POPEYE'S SUPPLEMENT N.BAYNORTH BAY ON</t>
  </si>
  <si>
    <t>URBAN PLANET #1893 NORTH BAY ON</t>
  </si>
  <si>
    <t>NETFLIX.COM 844-5052993 BC</t>
  </si>
  <si>
    <t>HOMESENSE 145 NORTH BAY ON</t>
  </si>
  <si>
    <t>RONA 08885 NORTH BAY ON</t>
  </si>
  <si>
    <t>COBS Bread NORTH BAY ON</t>
  </si>
  <si>
    <t>FAT LES KEMPTVILLE ON</t>
  </si>
  <si>
    <t>MAGNOTTA WINERY - SUDB SUDBURY ON</t>
  </si>
  <si>
    <t>KINGSWAY BUFFET SUDBURY ON</t>
  </si>
  <si>
    <t>MICHAELS #4912 NORTH BAY ON</t>
  </si>
  <si>
    <t>NOFRILLS</t>
  </si>
  <si>
    <t>Amazon.ca</t>
  </si>
  <si>
    <t>NORTHFIELD BLOCK AND GRAVNORTH BAY ON</t>
  </si>
  <si>
    <t>METRO 399 NORTH BAY ON</t>
  </si>
  <si>
    <t>00026 MACS CONV. STORES NORTH BAY ON</t>
  </si>
  <si>
    <t>GANGNAM KOREA</t>
  </si>
  <si>
    <t>JUICE ON THE LOOSE</t>
  </si>
  <si>
    <t>SQ *EVER COOL ICE CREAM North Bay ON</t>
  </si>
  <si>
    <t>ARUGULA NORTH BAY ON</t>
  </si>
  <si>
    <t>Amazon.ca Prime Member amazon.ca/priBC</t>
  </si>
  <si>
    <t>STOP 63 REDBRIDGE ON</t>
  </si>
  <si>
    <t>SYL'S NEIGHBOURHOOD KI NORTH BAY ON</t>
  </si>
  <si>
    <t>MATTAWA FRESHMART MATTAWA ON</t>
  </si>
  <si>
    <t>SP VODKOW ALMONTE ON</t>
  </si>
  <si>
    <t>COSTLO LIQUIDATORS NORTH BAY ON</t>
  </si>
  <si>
    <t>JT SUSHI NORTH BAY ON</t>
  </si>
  <si>
    <t>GIANT TIGER</t>
  </si>
  <si>
    <t>BULK BARN # 510 NORTH BAYNORTH BAY ON</t>
  </si>
  <si>
    <t>LOT 88 STEAKHOUSE &amp; BAR NORTH BAY ON</t>
  </si>
  <si>
    <t>WOLVES DEN GAS BAR NORTH BAY ON</t>
  </si>
  <si>
    <t>CANNABIS</t>
  </si>
  <si>
    <t>WENDYS 6418 RENFREW ON</t>
  </si>
  <si>
    <t>1000642064 ONTARIO INC. RENFREW ON</t>
  </si>
  <si>
    <t>LA VIE EN ROSE #103 NORTH BAY ON</t>
  </si>
  <si>
    <t>Amazon.ca*ZT1R56LV2 AMAZON.CA ON</t>
  </si>
  <si>
    <t>OTTAWA INTERNATIONAL AIRPOTTAWA ON</t>
  </si>
  <si>
    <t>TRITON NORTH YORK ON</t>
  </si>
  <si>
    <t>TIP TOP TAILOR</t>
  </si>
  <si>
    <t>M.I.C. CANADIAN</t>
  </si>
  <si>
    <t>KFC/TACO</t>
  </si>
  <si>
    <t>STM VENDOME DIN101 MONTREAL QC</t>
  </si>
  <si>
    <t>REUBEN'S DELI AND STEA MONTREAL QC</t>
  </si>
  <si>
    <t>LA CAVE A MANGER MONTREAL QC</t>
  </si>
  <si>
    <t>LES PETROLES</t>
  </si>
  <si>
    <t>SPIRIT HALLOWEEN C6851 NORTH BAY ON</t>
  </si>
  <si>
    <t>Wanup General Store SUDBURY ON</t>
  </si>
  <si>
    <t>HAPPY LIFE</t>
  </si>
  <si>
    <t>MECP-ONTPARK-INT-RESERVE ORILLIA ON</t>
  </si>
  <si>
    <t>BULLOCK'S YIG #2719 HUNTSVILLE ON</t>
  </si>
  <si>
    <t>SAND HILL NURSERY HUNTSVILLE ON</t>
  </si>
  <si>
    <t>STARBUCKS COFFEE # 517 HUNTSVILLE ON</t>
  </si>
  <si>
    <t>PAYPAL *DNBMUSEUM 7054762323 ON</t>
  </si>
  <si>
    <t>ESSO CIRCLE K NORTH BAY ON</t>
  </si>
  <si>
    <t>NORTH BAY REGIONAL HEA NORTH BAY ON</t>
  </si>
  <si>
    <t>Amazon.ca*PF4AN7FU3 AMAZON.CA ON</t>
  </si>
  <si>
    <t>NORTHBAY GUARDIAN 558103 NORTH BAY ON</t>
  </si>
  <si>
    <t>GAYTRI MAA INC DEEP RIVER ON</t>
  </si>
  <si>
    <t>SHELL C03395 OTTAWA ON</t>
  </si>
  <si>
    <t>AIRALO SINGAPORE</t>
  </si>
  <si>
    <t>4.50 USD @ 1.413300000000</t>
  </si>
  <si>
    <t>TST* GRENDEL'S DEN RESTAUCAMBRID</t>
  </si>
  <si>
    <t>77.52 USD @ 1.414900000000</t>
  </si>
  <si>
    <t xml:space="preserve">TST* NIGHT SHIFT- LOVE JOBOSTON </t>
  </si>
  <si>
    <t>23.15 USD @ 1.415900000000</t>
  </si>
  <si>
    <t>SUNOCO 0267704500 HANCOCK VT</t>
  </si>
  <si>
    <t>38.25 USD @ 1.414900000000</t>
  </si>
  <si>
    <t>MBTA HARVARD CAMBRIDGE MA</t>
  </si>
  <si>
    <t>2.40 USD @ 1.412500000000</t>
  </si>
  <si>
    <t xml:space="preserve">GIFTSHOPOMNIPARKERHOUSEBOBOSTON </t>
  </si>
  <si>
    <t>9.55 USD @ 1.413600000000</t>
  </si>
  <si>
    <t>SUPER 8 MOTELS 518-5852617 NY</t>
  </si>
  <si>
    <t>102.31 USD @ 1.415000000000</t>
  </si>
  <si>
    <t>TST*COMMON CAMBRIDGE Cambridge M</t>
  </si>
  <si>
    <t>84.66 USD @ 1.416200000000</t>
  </si>
  <si>
    <t>NH LIQUOR STORE #67 HOOKSETT NH</t>
  </si>
  <si>
    <t>48.97 USD @ 1.414900000000</t>
  </si>
  <si>
    <t>BOVA`S BAKERY BOSTON MA</t>
  </si>
  <si>
    <t>9.36 USD @ 1.414500000000</t>
  </si>
  <si>
    <t xml:space="preserve">TST* TATTE BAKERY CHARLESBOSTON </t>
  </si>
  <si>
    <t>10.43 USD @ 1.415100000000</t>
  </si>
  <si>
    <t>COFFEE TIME BAKE SHOP SALEM MA</t>
  </si>
  <si>
    <t>26.24 USD @ 1.416100000000</t>
  </si>
  <si>
    <t>STAR MARKET 2575 SOMERVILLE MA</t>
  </si>
  <si>
    <t>69.28 USD @ 1.416200000000</t>
  </si>
  <si>
    <t>A30 EXPRESS SALABERRY-DE-QC</t>
  </si>
  <si>
    <t>WENDYS 6430 ARNPRIOR ON</t>
  </si>
  <si>
    <t>TST* NOTCH BREWING - SALESALEM M</t>
  </si>
  <si>
    <t>23.99 USD @ 1.416000000000</t>
  </si>
  <si>
    <t>EXXON SHARON TRADING P SHARON VT</t>
  </si>
  <si>
    <t>32.12 USD @ 1.415900000000</t>
  </si>
  <si>
    <t>DUNKIN #341880 Q35 BURLINGTON MA</t>
  </si>
  <si>
    <t>12.75 USD @ 1.416400000000</t>
  </si>
  <si>
    <t>MOBIL @ 7291 ARNPRIOR ON</t>
  </si>
  <si>
    <t>TRADER JOE S #515 BURLINGTON MA</t>
  </si>
  <si>
    <t>128.29 USD @ 1.416300000000</t>
  </si>
  <si>
    <t>MOOSES COO* MOOSES COO NORTH BAY ON</t>
  </si>
  <si>
    <t>DQ GRILL &amp; CHILL #12323 NORTHBAY ON</t>
  </si>
  <si>
    <t>ANNUAL FEE</t>
  </si>
  <si>
    <t xml:space="preserve">ONTC REGULAR PR </t>
  </si>
  <si>
    <t>TOKYO SMOKE NORTH BAY NORTH BAY ON</t>
  </si>
  <si>
    <t>URIDE THUNDER BAY NON</t>
  </si>
  <si>
    <t>TWIGGS COFFEE COMPANY NORTH BAY ON</t>
  </si>
  <si>
    <t>BATH &amp; BODY WORKS (CANADANORTH BAY ON</t>
  </si>
  <si>
    <t>WAHNAPITAE ESSO WAHNAPITAE ON</t>
  </si>
  <si>
    <t>KINGSWAY ESSO SUDBURY ON</t>
  </si>
  <si>
    <t>SLEEP COUNTRY - NORTH BAYNORTH BAY ON</t>
  </si>
  <si>
    <t>THE MOOSE COOKHOUSE NORTH BAY ON</t>
  </si>
  <si>
    <t>ORCHARD'S FRESH FOOD MARKNORTH BAY ON</t>
  </si>
  <si>
    <t>M&amp;M FOOD MARKET #092 NORTH BAY ON</t>
  </si>
  <si>
    <t>AUTOMATIC PAYMENT -THANK YOU</t>
  </si>
  <si>
    <t>CAPITOL CENTRE NORTH BAY ON</t>
  </si>
  <si>
    <t>SWISS CHALET 1913 NORTH BAY ON</t>
  </si>
  <si>
    <t>CINEPLEX 8030 WEB QPS 416-323-6600 ON</t>
  </si>
  <si>
    <t>GATEWAY CITY BREWERY NORTH BAY ON</t>
  </si>
  <si>
    <t>Amazon.ca*Z32FE0ID1 AMAZON.CA ON</t>
  </si>
  <si>
    <t>STARBUCKS COFFEE #5686 NORTH BAY ON</t>
  </si>
  <si>
    <t>PARKER'S YIG</t>
  </si>
  <si>
    <t>NORTH BAY BATTALION HOCKENORTH BAY ON</t>
  </si>
  <si>
    <t>CHA MIAO MIAO NORTH BAY ON</t>
  </si>
  <si>
    <t>Amazon.ca*Z133U9TB1 AMAZON.CA ON</t>
  </si>
  <si>
    <t xml:space="preserve">MACEWEN </t>
  </si>
  <si>
    <t>Amazon.ca*Z913U16T1 AMAZON.CA ON</t>
  </si>
  <si>
    <t>COLES 148 NORTH BAY ON</t>
  </si>
  <si>
    <t>KOODO WEBSTORE 9871 SCARBOROUGH ON</t>
  </si>
  <si>
    <t>Amazon.ca*ZP80P98T2 AMAZON.CA ON</t>
  </si>
  <si>
    <t>Amazon.ca*ZE80J8BZ1 AMAZON.CA ON</t>
  </si>
  <si>
    <t>INT E-TRF FEE</t>
  </si>
  <si>
    <t>MIND GAMES NORTHGATE SHOPNORTH BAY ON</t>
  </si>
  <si>
    <t>PALMERI'S YIG 7974 GRAVENHURST ON</t>
  </si>
  <si>
    <t>00024 MACS CONV. STORES NORTH BAY ON</t>
  </si>
  <si>
    <t>SHELL</t>
  </si>
  <si>
    <t>CARRY ALL SUPPLIES NORTH BAY ON</t>
  </si>
  <si>
    <t>BOSTON PIZZA</t>
  </si>
  <si>
    <t>ARDENE</t>
  </si>
  <si>
    <t>SUZY SHIER</t>
  </si>
  <si>
    <t>American Eagle</t>
  </si>
  <si>
    <t>CASH WITHDRAWAL</t>
  </si>
  <si>
    <t>FRESHCO #9762 NORTH BAY ON</t>
  </si>
  <si>
    <t>01276 MACS CONV. STORES NORTH BAY ON</t>
  </si>
  <si>
    <t>BETWEEN THE BUN NORTH BAY ON</t>
  </si>
  <si>
    <t>AIRPORT ANIMAL HOSPITA NORTH BAY ON</t>
  </si>
  <si>
    <t>STAPLES STORE #90 NORTH BAY ON</t>
  </si>
  <si>
    <t>LONG &amp; MCQUADE NORTH BAY ON</t>
  </si>
  <si>
    <t>WINNERS 303 NORTH BAY ON</t>
  </si>
  <si>
    <t>WENDY'S 6460 MCKEOWN OLM NORTH BAY ON</t>
  </si>
  <si>
    <t>JACK ASTOR'S AIRPORT ETOBICOKE ON</t>
  </si>
  <si>
    <t>DUFRY AEROP GREG LUPERON SOSUA</t>
  </si>
  <si>
    <t>82.00 USD @ 1.481300000000</t>
  </si>
  <si>
    <t>PARK'N FLY TORONTO SEL TORONTO ON</t>
  </si>
  <si>
    <t>RED SWAN PIZZA NORTH BAY ON</t>
  </si>
  <si>
    <t>FRONTGATE TICKETS/ALLY TORONTO ON</t>
  </si>
  <si>
    <t>NEWEGG CANADA INC RICHMOND HILLON</t>
  </si>
  <si>
    <t>EVENTBRITE/SINBINCOMED SAINT JOHN NB</t>
  </si>
  <si>
    <t>ONT NORTHLAND - ALGONGUINNORTH BAY ON</t>
  </si>
  <si>
    <t>SUPERTRAVEL TORONTO ON</t>
  </si>
  <si>
    <t>Harwood Plumbing Heating NORTH BAY ON</t>
  </si>
  <si>
    <t>ONT NORTHLAND - COCH STN COCHRANE ON</t>
  </si>
  <si>
    <t>WENDY'S RESTAURANT #6460 NORTH BAY ON</t>
  </si>
  <si>
    <t>CPC SCP/CU884767167CA OTTAWA ON</t>
  </si>
  <si>
    <t>SP LAPORTES NURSERY NORTH BAY ON</t>
  </si>
  <si>
    <t>EAST SIDE MARIOS NORTH BAY ON</t>
  </si>
  <si>
    <t>KANA LEAF NORTH BAY ON</t>
  </si>
  <si>
    <t>THE BEER STORE #3540 NORTH BAY ON</t>
  </si>
  <si>
    <t>ONT NORTHLAND - OBS PBX COCHRANE ON</t>
  </si>
  <si>
    <t>SQ *THE YELLOW BARS Cochrane ON</t>
  </si>
  <si>
    <t>MOOSONEE #446 MOOSONEE ON</t>
  </si>
  <si>
    <t>COCHRANE ESSO COCHRANE ON</t>
  </si>
  <si>
    <t>POLAR BEAR HABITAT COCHRANE ON</t>
  </si>
  <si>
    <t>49TH PARALLEL KITCHEN COCHRANE ON</t>
  </si>
  <si>
    <t>SH VENDING8003620026 RICHMOND HILLON</t>
  </si>
  <si>
    <t>ATM CASH ADV/AVANCE DE FONDS -8349</t>
  </si>
  <si>
    <t>BRANDON &amp; ASHLEY'S NF STURGEON FALLON</t>
  </si>
  <si>
    <t>CASH ABM -SERVICE CHARGE</t>
  </si>
  <si>
    <t>BLOOMSATHLETICS.COM RICHMOND BC</t>
  </si>
  <si>
    <t>CASH ADVANCE INTEREST 22.99%</t>
  </si>
  <si>
    <t>PARTNERS BILLIARDSBOWL NORTH BAY ON</t>
  </si>
  <si>
    <t>AVERAGE JOE'S EATERY AND NORTH BAY ON</t>
  </si>
  <si>
    <t>TACO BELL # 6325 NORTH BAY ON</t>
  </si>
  <si>
    <t>CACAO70 BARRIE BARRIE ON</t>
  </si>
  <si>
    <t>Lids 7731 Cookstown ON</t>
  </si>
  <si>
    <t>Calvin Klein Cookstown ON</t>
  </si>
  <si>
    <t>LABELS COOKSTOWN ON</t>
  </si>
  <si>
    <t>IMPERIAL MEATS BARRIE ON</t>
  </si>
  <si>
    <t>HM CA0089 Cookstown ON</t>
  </si>
  <si>
    <t>OLD NAVY CA 472 COOKSTOWN ON</t>
  </si>
  <si>
    <t>URBAN PLANET #1360 COOKSTOWN ON</t>
  </si>
  <si>
    <t>WEST 49 #9609 COOKSTOWN ON</t>
  </si>
  <si>
    <t>MARK'S STORE #72 BARRIE ON</t>
  </si>
  <si>
    <t>SHOE COMPANY #247 COOKSTOWN ON</t>
  </si>
  <si>
    <t>SPOON &amp; FORK BARRIE ON</t>
  </si>
  <si>
    <t>CANDY SHOPPE INC. SEVERN ON</t>
  </si>
  <si>
    <t>MAC'S CONVENIENCE STORES NORTH BAY ON</t>
  </si>
  <si>
    <t>KELSEY'S #7657 ORILLIA ON</t>
  </si>
  <si>
    <t>SQ *232 PRODUCTIONS Oro Station ON</t>
  </si>
  <si>
    <t>SQ *THE ULTIMATE FOOD TRUOro Station ON</t>
  </si>
  <si>
    <t>ARBY'S 2039 ORILLIA ON</t>
  </si>
  <si>
    <t>SQ *232 PRODUCTIONS Toronto ON</t>
  </si>
  <si>
    <t>SUMMER TIME LEMONADE WASAGA BEACH ON</t>
  </si>
  <si>
    <t>SQ *232 PRODUCTIONS Hawkestone ON</t>
  </si>
  <si>
    <t>RANCHO RELAXO TO GO TORONTO ON</t>
  </si>
  <si>
    <t>SQ *SQUEEZE THE BAY LEMONNORTH BAY ON</t>
  </si>
  <si>
    <t>JEREMY'S TRUCK STOP AN NAIRN CENTRE ON</t>
  </si>
  <si>
    <t>TWIGGS COFFEE ROASTERS NORTH BAY ON</t>
  </si>
  <si>
    <t>RIV CHIP STAND STURGEON FALLON</t>
  </si>
  <si>
    <t>BEYOND SUSHI NORTH BAY ON</t>
  </si>
  <si>
    <t>AIRBNB * HMTNTQMZQK AIRBNB.COM</t>
  </si>
  <si>
    <t>BILL PAYMENT</t>
  </si>
  <si>
    <t xml:space="preserve">Koodo Mobile </t>
  </si>
  <si>
    <t>MORTGAGE</t>
  </si>
  <si>
    <t xml:space="preserve">MERIX </t>
  </si>
  <si>
    <t>PETRO-CANADA</t>
  </si>
  <si>
    <t>FOODLAND #6447 HALIBURTON ON</t>
  </si>
  <si>
    <t>PETRO-CANADA 10499 BURKS FALLS ON</t>
  </si>
  <si>
    <t>ROVER.COM* PET SVCS. NORTH BAY ON</t>
  </si>
  <si>
    <t>DR PIZZA NORTH BAY ON</t>
  </si>
  <si>
    <t>PINO'S GET FRESH SAULT STE. MAON</t>
  </si>
  <si>
    <t>RANKIN GEN7 SAULT STE. MAON</t>
  </si>
  <si>
    <t>WAWA RV RESORT &amp; CAMPGROUWAWA ON</t>
  </si>
  <si>
    <t>SQ *ALGOMA HIGHLANDS WAWA ON</t>
  </si>
  <si>
    <t>BANGIN BURGER N CHICKEN SWAWA ON</t>
  </si>
  <si>
    <t>T CANNABIS NW INC. Markham ON</t>
  </si>
  <si>
    <t>THE BARGAIN SHOP #5390 WAWA ON</t>
  </si>
  <si>
    <t>JOHN'S YIG #3726 WAWA ON</t>
  </si>
  <si>
    <t>PETRO-CANADA 56602 WAWA ON</t>
  </si>
  <si>
    <t>LS THE CORPORATION OF WAWA ON</t>
  </si>
  <si>
    <t>MECP-LK SUPERIOR PPARK WAWA ON</t>
  </si>
  <si>
    <t>COGECO</t>
  </si>
  <si>
    <t>THE VOYAGEUR LODGE AND C BATCHAWANA BAON</t>
  </si>
  <si>
    <t>SQ *VOYAGEURS? LODGE AND Batchawana BaON</t>
  </si>
  <si>
    <t>MECP-ONTPARK-INT-RESER ORILLIA ON</t>
  </si>
  <si>
    <t>CAD SODA SNACK VENDING TORONTO ON</t>
  </si>
  <si>
    <t>BIOPED #45 NORTH BAY NORTH BAY ON</t>
  </si>
  <si>
    <t>WWW.GRECOS* GRECOS PIZ NORTH BAY ON</t>
  </si>
  <si>
    <t>ONE PLANT NORTH BAY NORTH BAY ON</t>
  </si>
  <si>
    <t>DAIRY QUEEN #12237 NORTH BAY ON</t>
  </si>
  <si>
    <t>Accounts</t>
  </si>
  <si>
    <t>Number</t>
  </si>
  <si>
    <t>Name</t>
  </si>
  <si>
    <t>Cushion</t>
  </si>
  <si>
    <t>Expected</t>
  </si>
  <si>
    <t>Actual</t>
  </si>
  <si>
    <t>Surplus</t>
  </si>
  <si>
    <t>Mel Load Amount</t>
  </si>
  <si>
    <t>00912-5106893</t>
  </si>
  <si>
    <t>Steven Personal Chequing</t>
  </si>
  <si>
    <t>N/A</t>
  </si>
  <si>
    <t>Savings Self-Loan amount</t>
  </si>
  <si>
    <t>00912-5106901</t>
  </si>
  <si>
    <t>Steven Personal Savings</t>
  </si>
  <si>
    <t>Temp accrual amount</t>
  </si>
  <si>
    <t>04982-5186838</t>
  </si>
  <si>
    <t>Shared Chequings</t>
  </si>
  <si>
    <t>04982-5059290</t>
  </si>
  <si>
    <t>4510142620407531</t>
  </si>
  <si>
    <t>Steven Visa</t>
  </si>
  <si>
    <t>4510158011413292</t>
  </si>
  <si>
    <t>Shared Visa</t>
  </si>
  <si>
    <t>04982-35098277001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</si>
</sst>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&quot;$&quot;#,##0.00"/>
    <numFmt numFmtId="166" formatCode="mm/dd/yyyy"/>
    <numFmt numFmtId="167" formatCode="0_ ;[Red]\-0\ "/>
    <numFmt numFmtId="168" formatCode="yyyy/mm/dd"/>
  </numFmts>
  <fonts count="3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b/>
      <i/>
      <sz val="14"/>
      <color rgb="FF434343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rgb="FFFFFFFF"/>
      <name val="Arial"/>
      <family val="2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FFFFFF"/>
      <name val="Arial"/>
      <family val="2"/>
    </font>
    <font>
      <b/>
      <u/>
      <sz val="12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i/>
      <sz val="10"/>
      <color rgb="FF434343"/>
      <name val="Arial"/>
      <family val="2"/>
    </font>
    <font>
      <b/>
      <sz val="11"/>
      <color rgb="FFFFFFFF"/>
      <name val="Arial"/>
      <family val="2"/>
    </font>
    <font>
      <b/>
      <i/>
      <sz val="11"/>
      <color rgb="FF434343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i/>
      <sz val="16"/>
      <color theme="1"/>
      <name val="Arial"/>
      <family val="2"/>
    </font>
    <font>
      <sz val="14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24"/>
      <color rgb="FF097B24"/>
      <name val="Arial"/>
      <family val="2"/>
    </font>
    <font>
      <sz val="15"/>
      <color rgb="FF1F1F1F"/>
      <name val="Roboto"/>
      <charset val="1"/>
    </font>
  </fonts>
  <fills count="10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7E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7B7B7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B7B7B7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rgb="FFCCCCCC"/>
      </left>
      <right/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4" tint="0.39997558519241921"/>
      </bottom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19" fillId="0" borderId="0"/>
  </cellStyleXfs>
  <cellXfs count="1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164" fontId="9" fillId="3" borderId="5" xfId="0" applyNumberFormat="1" applyFont="1" applyFill="1" applyBorder="1" applyAlignment="1">
      <alignment horizontal="center" vertical="center" wrapText="1"/>
    </xf>
    <xf numFmtId="164" fontId="9" fillId="4" borderId="5" xfId="0" applyNumberFormat="1" applyFont="1" applyFill="1" applyBorder="1" applyAlignment="1">
      <alignment horizontal="center" vertical="center" wrapText="1"/>
    </xf>
    <xf numFmtId="164" fontId="9" fillId="4" borderId="6" xfId="0" applyNumberFormat="1" applyFont="1" applyFill="1" applyBorder="1" applyAlignment="1">
      <alignment horizontal="center" vertical="center" wrapText="1"/>
    </xf>
    <xf numFmtId="164" fontId="9" fillId="3" borderId="6" xfId="0" applyNumberFormat="1" applyFont="1" applyFill="1" applyBorder="1" applyAlignment="1">
      <alignment horizontal="center" vertical="center" wrapText="1"/>
    </xf>
    <xf numFmtId="164" fontId="9" fillId="3" borderId="12" xfId="0" applyNumberFormat="1" applyFont="1" applyFill="1" applyBorder="1" applyAlignment="1">
      <alignment horizontal="center" vertical="center" wrapText="1"/>
    </xf>
    <xf numFmtId="164" fontId="9" fillId="4" borderId="1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4" fillId="2" borderId="14" xfId="0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 wrapText="1"/>
    </xf>
    <xf numFmtId="165" fontId="4" fillId="2" borderId="14" xfId="0" applyNumberFormat="1" applyFont="1" applyFill="1" applyBorder="1" applyAlignment="1">
      <alignment horizontal="center" vertical="center" wrapText="1"/>
    </xf>
    <xf numFmtId="165" fontId="7" fillId="3" borderId="13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0" fontId="4" fillId="2" borderId="14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0" fontId="3" fillId="4" borderId="1" xfId="0" applyNumberFormat="1" applyFont="1" applyFill="1" applyBorder="1" applyAlignment="1">
      <alignment horizontal="center" vertical="center" wrapText="1"/>
    </xf>
    <xf numFmtId="164" fontId="3" fillId="4" borderId="12" xfId="0" applyNumberFormat="1" applyFont="1" applyFill="1" applyBorder="1" applyAlignment="1">
      <alignment horizontal="center" vertical="center" wrapText="1"/>
    </xf>
    <xf numFmtId="10" fontId="3" fillId="4" borderId="11" xfId="0" applyNumberFormat="1" applyFont="1" applyFill="1" applyBorder="1" applyAlignment="1">
      <alignment horizontal="center" vertical="center" wrapText="1"/>
    </xf>
    <xf numFmtId="164" fontId="3" fillId="4" borderId="1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7" fillId="3" borderId="13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0" borderId="0" xfId="0" applyFont="1"/>
    <xf numFmtId="14" fontId="4" fillId="2" borderId="8" xfId="0" applyNumberFormat="1" applyFont="1" applyFill="1" applyBorder="1" applyAlignment="1">
      <alignment horizontal="center" vertical="center" wrapText="1"/>
    </xf>
    <xf numFmtId="165" fontId="4" fillId="2" borderId="8" xfId="0" applyNumberFormat="1" applyFont="1" applyFill="1" applyBorder="1" applyAlignment="1">
      <alignment horizontal="center" vertical="center" wrapText="1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9" fontId="4" fillId="2" borderId="8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5" borderId="17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65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5" fontId="2" fillId="4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/>
    </xf>
    <xf numFmtId="165" fontId="8" fillId="5" borderId="20" xfId="0" applyNumberFormat="1" applyFont="1" applyFill="1" applyBorder="1" applyAlignment="1">
      <alignment horizontal="center" vertical="center"/>
    </xf>
    <xf numFmtId="165" fontId="8" fillId="5" borderId="16" xfId="0" applyNumberFormat="1" applyFont="1" applyFill="1" applyBorder="1" applyAlignment="1">
      <alignment horizontal="center" vertical="center"/>
    </xf>
    <xf numFmtId="165" fontId="8" fillId="5" borderId="21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20" xfId="0" applyNumberFormat="1" applyFont="1" applyFill="1" applyBorder="1" applyAlignment="1">
      <alignment horizontal="center" vertical="center"/>
    </xf>
    <xf numFmtId="164" fontId="18" fillId="5" borderId="1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65" fontId="11" fillId="0" borderId="0" xfId="0" applyNumberFormat="1" applyFont="1" applyAlignment="1">
      <alignment horizontal="center"/>
    </xf>
    <xf numFmtId="11" fontId="0" fillId="0" borderId="0" xfId="0" applyNumberFormat="1"/>
    <xf numFmtId="49" fontId="0" fillId="5" borderId="18" xfId="0" applyNumberFormat="1" applyFill="1" applyBorder="1" applyAlignment="1">
      <alignment horizontal="center"/>
    </xf>
    <xf numFmtId="2" fontId="0" fillId="5" borderId="18" xfId="0" applyNumberFormat="1" applyFill="1" applyBorder="1" applyAlignment="1">
      <alignment horizontal="center"/>
    </xf>
    <xf numFmtId="2" fontId="0" fillId="0" borderId="0" xfId="0" applyNumberFormat="1"/>
    <xf numFmtId="0" fontId="4" fillId="2" borderId="19" xfId="0" applyFont="1" applyFill="1" applyBorder="1" applyAlignment="1">
      <alignment horizontal="center" vertical="center" wrapText="1"/>
    </xf>
    <xf numFmtId="0" fontId="1" fillId="6" borderId="0" xfId="1" applyFont="1" applyFill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9" fillId="0" borderId="0" xfId="1"/>
    <xf numFmtId="165" fontId="21" fillId="7" borderId="0" xfId="1" applyNumberFormat="1" applyFont="1" applyFill="1" applyAlignment="1">
      <alignment horizontal="center" vertical="center"/>
    </xf>
    <xf numFmtId="0" fontId="21" fillId="7" borderId="0" xfId="1" applyFont="1" applyFill="1" applyAlignment="1">
      <alignment horizontal="center" vertical="center"/>
    </xf>
    <xf numFmtId="166" fontId="20" fillId="0" borderId="0" xfId="1" applyNumberFormat="1" applyFont="1" applyAlignment="1">
      <alignment horizontal="center" vertical="center"/>
    </xf>
    <xf numFmtId="165" fontId="20" fillId="0" borderId="0" xfId="1" applyNumberFormat="1" applyFont="1" applyAlignment="1">
      <alignment horizontal="center" vertical="center"/>
    </xf>
    <xf numFmtId="0" fontId="1" fillId="6" borderId="0" xfId="1" applyFont="1" applyFill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4" fillId="0" borderId="23" xfId="1" applyFont="1" applyBorder="1"/>
    <xf numFmtId="0" fontId="25" fillId="0" borderId="23" xfId="1" applyFont="1" applyBorder="1" applyAlignment="1">
      <alignment horizontal="center" vertical="center"/>
    </xf>
    <xf numFmtId="165" fontId="25" fillId="0" borderId="23" xfId="1" applyNumberFormat="1" applyFont="1" applyBorder="1" applyAlignment="1">
      <alignment horizontal="center" vertical="center"/>
    </xf>
    <xf numFmtId="165" fontId="23" fillId="7" borderId="23" xfId="1" applyNumberFormat="1" applyFont="1" applyFill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4" fillId="0" borderId="0" xfId="1" applyFont="1"/>
    <xf numFmtId="0" fontId="20" fillId="0" borderId="0" xfId="1" applyFont="1" applyAlignment="1">
      <alignment horizontal="right" vertical="center"/>
    </xf>
    <xf numFmtId="0" fontId="20" fillId="0" borderId="22" xfId="1" applyFont="1" applyBorder="1" applyAlignment="1">
      <alignment horizontal="right" vertical="center"/>
    </xf>
    <xf numFmtId="0" fontId="28" fillId="8" borderId="0" xfId="0" applyFont="1" applyFill="1"/>
    <xf numFmtId="167" fontId="4" fillId="2" borderId="8" xfId="0" applyNumberFormat="1" applyFont="1" applyFill="1" applyBorder="1" applyAlignment="1">
      <alignment horizontal="center" vertical="center" wrapText="1"/>
    </xf>
    <xf numFmtId="167" fontId="0" fillId="5" borderId="18" xfId="0" applyNumberForma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4" fontId="17" fillId="4" borderId="0" xfId="0" applyNumberFormat="1" applyFont="1" applyFill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4" fontId="26" fillId="4" borderId="12" xfId="0" applyNumberFormat="1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/>
    </xf>
    <xf numFmtId="165" fontId="0" fillId="5" borderId="5" xfId="0" applyNumberForma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165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7" fillId="3" borderId="24" xfId="0" applyFont="1" applyFill="1" applyBorder="1" applyAlignment="1">
      <alignment horizontal="center" vertical="center" wrapText="1"/>
    </xf>
    <xf numFmtId="14" fontId="0" fillId="5" borderId="18" xfId="0" applyNumberForma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0" fontId="29" fillId="0" borderId="0" xfId="0" applyFont="1"/>
    <xf numFmtId="165" fontId="20" fillId="9" borderId="0" xfId="1" applyNumberFormat="1" applyFont="1" applyFill="1" applyAlignment="1">
      <alignment horizontal="center" vertical="center"/>
    </xf>
    <xf numFmtId="168" fontId="0" fillId="0" borderId="0" xfId="0" applyNumberFormat="1"/>
    <xf numFmtId="165" fontId="20" fillId="9" borderId="0" xfId="1" applyNumberFormat="1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 wrapText="1"/>
    </xf>
    <xf numFmtId="165" fontId="30" fillId="0" borderId="0" xfId="0" applyNumberFormat="1" applyFont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" fillId="6" borderId="0" xfId="1" applyFont="1" applyFill="1" applyAlignment="1">
      <alignment horizontal="center" vertical="center" wrapText="1"/>
    </xf>
    <xf numFmtId="165" fontId="10" fillId="7" borderId="0" xfId="1" applyNumberFormat="1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9" fillId="0" borderId="0" xfId="1" applyAlignment="1"/>
    <xf numFmtId="0" fontId="27" fillId="0" borderId="0" xfId="1" applyFont="1" applyAlignment="1"/>
  </cellXfs>
  <cellStyles count="2">
    <cellStyle name="Normal" xfId="0" builtinId="0"/>
    <cellStyle name="Normal 2" xfId="1" xr:uid="{6C15DB28-A3BA-4071-8D6A-89E4CDBB967C}"/>
  </cellStyles>
  <dxfs count="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;[Red]\-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;[Red]\-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  <dxf>
      <font>
        <strike val="0"/>
        <outline val="0"/>
        <shadow val="0"/>
        <u val="none"/>
        <vertAlign val="baseline"/>
        <sz val="12"/>
        <family val="2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38761D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38761D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8" formatCode="yyyy/mm/dd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_ ;[Red]\-0\ 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68" formatCode="yyyy/mm/dd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_ ;[Red]\-0\ 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numFmt numFmtId="30" formatCode="@"/>
      <fill>
        <patternFill patternType="solid">
          <fgColor indexed="64"/>
          <bgColor rgb="FF38761D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  <bottom style="thin">
          <color theme="4" tint="0.39997558519241921"/>
        </bottom>
      </border>
    </dxf>
    <dxf>
      <numFmt numFmtId="165" formatCode="&quot;$&quot;#,##0.00"/>
    </dxf>
    <dxf>
      <font>
        <b/>
        <strike val="0"/>
        <outline val="0"/>
        <shadow val="0"/>
        <u val="none"/>
        <vertAlign val="baseline"/>
        <sz val="12"/>
      </font>
      <numFmt numFmtId="165" formatCode="&quot;$&quot;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numFmt numFmtId="165" formatCode="&quot;$&quot;#,##0.00"/>
      <alignment horizontal="center" vertical="bottom" textRotation="0" wrapText="0" indent="0" justifyLastLine="0" shrinkToFit="0" readingOrder="0"/>
    </dxf>
    <dxf>
      <numFmt numFmtId="168" formatCode="yyyy/mm/dd"/>
    </dxf>
    <dxf>
      <numFmt numFmtId="19" formatCode="m/d/yyyy"/>
      <alignment horizontal="center" textRotation="0" indent="0" justifyLastLine="0" shrinkToFit="0" readingOrder="0"/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38761D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numFmt numFmtId="14" formatCode="0.00%"/>
    </dxf>
    <dxf>
      <border diagonalUp="0" diagonalDown="0" outline="0">
        <left/>
        <right/>
        <top style="medium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/>
        <sz val="12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/>
        <sz val="12"/>
        <name val="Arial"/>
        <family val="2"/>
        <scheme val="none"/>
      </font>
      <numFmt numFmtId="14" formatCode="0.00%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/>
        <sz val="12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&quot;$&quot;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&quot;$&quot;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4" formatCode="&quot;$&quot;#,##0.00;[Red]\-&quot;$&quot;#,##0.00"/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EF7E3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38761D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33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06-4822-9DC1-C8F3C384E6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06-4822-9DC1-C8F3C384E6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'Yearly Overview'!$D$7:$D$8</c:f>
              <c:strCache>
                <c:ptCount val="2"/>
                <c:pt idx="0">
                  <c:v>Chequing</c:v>
                </c:pt>
                <c:pt idx="1">
                  <c:v>Saving</c:v>
                </c:pt>
              </c:strCache>
            </c:strRef>
          </c:cat>
          <c:val>
            <c:numRef>
              <c:f>'Yearly Overview'!$G$7:$G$8</c:f>
              <c:numCache>
                <c:formatCode>"$"#,##0.00;[Red]\-"$"#,##0.00</c:formatCode>
                <c:ptCount val="2"/>
                <c:pt idx="0">
                  <c:v>54282.460000000006</c:v>
                </c:pt>
                <c:pt idx="1">
                  <c:v>34888.130714285711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06-4822-9DC1-C8F3C384E6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20-4347-A275-F284FA16DE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20-4347-A275-F284FA16DE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'Yearly Overview'!$E$6:$F$6</c:f>
              <c:strCache>
                <c:ptCount val="2"/>
                <c:pt idx="0">
                  <c:v>Need</c:v>
                </c:pt>
                <c:pt idx="1">
                  <c:v>Want</c:v>
                </c:pt>
              </c:strCache>
            </c:strRef>
          </c:cat>
          <c:val>
            <c:numRef>
              <c:f>'Yearly Overview'!$E$9:$F$9</c:f>
              <c:numCache>
                <c:formatCode>"$"#,##0.00;[Red]\-"$"#,##0.00</c:formatCode>
                <c:ptCount val="2"/>
                <c:pt idx="0">
                  <c:v>41479.020000000004</c:v>
                </c:pt>
                <c:pt idx="1">
                  <c:v>31374.290714285711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20-4347-A275-F284FA16DEB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B4-491B-86C4-772F00ADF1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B4-491B-86C4-772F00ADF1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B4-491B-86C4-772F00ADF1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B4-491B-86C4-772F00ADF1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B4-491B-86C4-772F00ADF1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B4-491B-86C4-772F00ADF1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B4-491B-86C4-772F00ADF1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4B4-491B-86C4-772F00ADF1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4B4-491B-86C4-772F00ADF10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E0A-4620-B228-7797BA8966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'Yearly Overview'!$D$3:$M$3</c:f>
              <c:strCache>
                <c:ptCount val="10"/>
                <c:pt idx="0">
                  <c:v>Home</c:v>
                </c:pt>
                <c:pt idx="1">
                  <c:v>Vehicle</c:v>
                </c:pt>
                <c:pt idx="2">
                  <c:v>Travel</c:v>
                </c:pt>
                <c:pt idx="3">
                  <c:v>Accruals</c:v>
                </c:pt>
                <c:pt idx="4">
                  <c:v>Investments</c:v>
                </c:pt>
                <c:pt idx="5">
                  <c:v>Food</c:v>
                </c:pt>
                <c:pt idx="6">
                  <c:v>Shopping</c:v>
                </c:pt>
                <c:pt idx="7">
                  <c:v>Leisure</c:v>
                </c:pt>
                <c:pt idx="8">
                  <c:v>Personal</c:v>
                </c:pt>
                <c:pt idx="9">
                  <c:v>Other</c:v>
                </c:pt>
              </c:strCache>
            </c:strRef>
          </c:cat>
          <c:val>
            <c:numRef>
              <c:f>'Yearly Overview'!$D$4:$M$4</c:f>
              <c:numCache>
                <c:formatCode>"$"#,##0.00;[Red]\-"$"#,##0.00</c:formatCode>
                <c:ptCount val="10"/>
                <c:pt idx="0">
                  <c:v>23701.02</c:v>
                </c:pt>
                <c:pt idx="1">
                  <c:v>8658</c:v>
                </c:pt>
                <c:pt idx="2">
                  <c:v>4080</c:v>
                </c:pt>
                <c:pt idx="3">
                  <c:v>9568.1307142857131</c:v>
                </c:pt>
                <c:pt idx="4">
                  <c:v>6717.28</c:v>
                </c:pt>
                <c:pt idx="5">
                  <c:v>8400</c:v>
                </c:pt>
                <c:pt idx="6">
                  <c:v>12360</c:v>
                </c:pt>
                <c:pt idx="7">
                  <c:v>6283.92</c:v>
                </c:pt>
                <c:pt idx="8">
                  <c:v>9282.24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4B4-491B-86C4-772F00ADF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34839198300275"/>
          <c:y val="8.2605985263276366E-2"/>
          <c:w val="0.66330321603399445"/>
          <c:h val="0.6595598015491264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A7-4AC1-9BDB-8114E21714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A7-4AC1-9BDB-8114E21714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A7-4AC1-9BDB-8114E21714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CA7-4AC1-9BDB-8114E21714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A7-4AC1-9BDB-8114E21714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CA7-4AC1-9BDB-8114E21714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CA7-4AC1-9BDB-8114E21714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CA7-4AC1-9BDB-8114E217142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CA7-4AC1-9BDB-8114E217142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166-4FC4-98C6-D0B579492EB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166-4FC4-98C6-D0B579492E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Overview'!$D$3:$N$3</c:f>
              <c:strCache>
                <c:ptCount val="10"/>
                <c:pt idx="0">
                  <c:v>Home</c:v>
                </c:pt>
                <c:pt idx="1">
                  <c:v>Vehicle</c:v>
                </c:pt>
                <c:pt idx="2">
                  <c:v>Travel</c:v>
                </c:pt>
                <c:pt idx="3">
                  <c:v>Accruals</c:v>
                </c:pt>
                <c:pt idx="4">
                  <c:v>Investments</c:v>
                </c:pt>
                <c:pt idx="5">
                  <c:v>Food</c:v>
                </c:pt>
                <c:pt idx="6">
                  <c:v>Shopping</c:v>
                </c:pt>
                <c:pt idx="7">
                  <c:v>Leisure</c:v>
                </c:pt>
                <c:pt idx="8">
                  <c:v>Personal</c:v>
                </c:pt>
                <c:pt idx="9">
                  <c:v>Other</c:v>
                </c:pt>
              </c:strCache>
            </c:strRef>
          </c:cat>
          <c:val>
            <c:numRef>
              <c:f>'Monthly Overview'!$D$4:$N$4</c:f>
              <c:numCache>
                <c:formatCode>"$"#,##0.00;[Red]\-"$"#,##0.00</c:formatCode>
                <c:ptCount val="11"/>
                <c:pt idx="0">
                  <c:v>1975.085</c:v>
                </c:pt>
                <c:pt idx="1">
                  <c:v>721.5</c:v>
                </c:pt>
                <c:pt idx="2">
                  <c:v>340</c:v>
                </c:pt>
                <c:pt idx="3">
                  <c:v>797.34422619047609</c:v>
                </c:pt>
                <c:pt idx="4">
                  <c:v>559.77333333333331</c:v>
                </c:pt>
                <c:pt idx="5">
                  <c:v>700</c:v>
                </c:pt>
                <c:pt idx="6">
                  <c:v>1030</c:v>
                </c:pt>
                <c:pt idx="7">
                  <c:v>523.66</c:v>
                </c:pt>
                <c:pt idx="8">
                  <c:v>773.52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2-4F99-B0C8-CF67796CA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4C6-44E3-B819-C72BD9CD75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C6-44E3-B819-C72BD9CD75E7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244219871739235"/>
                      <c:h val="0.141433021806853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4C6-44E3-B819-C72BD9CD75E7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683158277154066"/>
                      <c:h val="0.141433021806853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4C6-44E3-B819-C72BD9CD75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Overview'!$D$8:$D$9</c:f>
              <c:strCache>
                <c:ptCount val="2"/>
                <c:pt idx="0">
                  <c:v>Chequing</c:v>
                </c:pt>
                <c:pt idx="1">
                  <c:v>Saving</c:v>
                </c:pt>
              </c:strCache>
            </c:strRef>
          </c:cat>
          <c:val>
            <c:numRef>
              <c:f>'Monthly Overview'!$H$8:$H$9</c:f>
              <c:numCache>
                <c:formatCode>"$"#,##0.00;[Red]\-"$"#,##0.00</c:formatCode>
                <c:ptCount val="2"/>
                <c:pt idx="0">
                  <c:v>4523.5383333333339</c:v>
                </c:pt>
                <c:pt idx="1">
                  <c:v>2907.3442261904761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6-44E3-B819-C72BD9CD75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BCB-42A3-88C4-E607DA242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CB-42A3-88C4-E607DA242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1E-4C2A-A463-E980B726743F}"/>
              </c:ext>
            </c:extLst>
          </c:dPt>
          <c:dLbls>
            <c:dLbl>
              <c:idx val="0"/>
              <c:layout>
                <c:manualLayout>
                  <c:x val="-0.24453024453024452"/>
                  <c:y val="-3.40917453287753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95624195624196"/>
                      <c:h val="0.121778532993486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BCB-42A3-88C4-E607DA242AE0}"/>
                </c:ext>
              </c:extLst>
            </c:dLbl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58429858429858"/>
                      <c:h val="7.64655904842820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81E-4C2A-A463-E980B72674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Overview'!$E$7:$G$7</c:f>
              <c:strCache>
                <c:ptCount val="3"/>
                <c:pt idx="0">
                  <c:v>Need</c:v>
                </c:pt>
                <c:pt idx="1">
                  <c:v>Smart</c:v>
                </c:pt>
                <c:pt idx="2">
                  <c:v>Want</c:v>
                </c:pt>
              </c:strCache>
            </c:strRef>
          </c:cat>
          <c:val>
            <c:numRef>
              <c:f>'Monthly Overview'!$E$10:$G$10</c:f>
              <c:numCache>
                <c:formatCode>"$"#,##0.00;[Red]\-"$"#,##0.00</c:formatCode>
                <c:ptCount val="3"/>
                <c:pt idx="0">
                  <c:v>3456.585</c:v>
                </c:pt>
                <c:pt idx="1">
                  <c:v>1359.7733333333333</c:v>
                </c:pt>
                <c:pt idx="2">
                  <c:v>2614.5242261904759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B-42A3-88C4-E607DA242A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Income!$B$2:$B$3</c:f>
              <c:strCache>
                <c:ptCount val="2"/>
                <c:pt idx="0">
                  <c:v>Paycheck</c:v>
                </c:pt>
                <c:pt idx="1">
                  <c:v>Paycheck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C7-40EA-A9F1-F254A050AE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C7-40EA-A9F1-F254A050AE0B}"/>
              </c:ext>
            </c:extLst>
          </c:dPt>
          <c:val>
            <c:numRef>
              <c:f>Income!$L$2:$L$3</c:f>
            </c:numRef>
          </c:val>
          <c:extLst>
            <c:ext xmlns:c16="http://schemas.microsoft.com/office/drawing/2014/chart" uri="{C3380CC4-5D6E-409C-BE32-E72D297353CC}">
              <c16:uniqueId val="{00000000-FC51-4DCA-9C14-EFF23D57F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133351</xdr:colOff>
      <xdr:row>5</xdr:row>
      <xdr:rowOff>0</xdr:rowOff>
    </xdr:from>
    <xdr:to>
      <xdr:col>8</xdr:col>
      <xdr:colOff>1009650</xdr:colOff>
      <xdr:row>10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733425</xdr:colOff>
      <xdr:row>9</xdr:row>
      <xdr:rowOff>9526</xdr:rowOff>
    </xdr:from>
    <xdr:to>
      <xdr:col>6</xdr:col>
      <xdr:colOff>57150</xdr:colOff>
      <xdr:row>14</xdr:row>
      <xdr:rowOff>108586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4</xdr:row>
      <xdr:rowOff>314325</xdr:rowOff>
    </xdr:from>
    <xdr:to>
      <xdr:col>13</xdr:col>
      <xdr:colOff>333375</xdr:colOff>
      <xdr:row>14</xdr:row>
      <xdr:rowOff>100013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2736E7-6EA3-4758-9115-C15389EC2BFA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402981</xdr:colOff>
      <xdr:row>4</xdr:row>
      <xdr:rowOff>345463</xdr:rowOff>
    </xdr:from>
    <xdr:to>
      <xdr:col>15</xdr:col>
      <xdr:colOff>577362</xdr:colOff>
      <xdr:row>14</xdr:row>
      <xdr:rowOff>178776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353159</xdr:colOff>
      <xdr:row>6</xdr:row>
      <xdr:rowOff>29307</xdr:rowOff>
    </xdr:from>
    <xdr:to>
      <xdr:col>10</xdr:col>
      <xdr:colOff>181708</xdr:colOff>
      <xdr:row>11</xdr:row>
      <xdr:rowOff>128367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513617</xdr:colOff>
      <xdr:row>10</xdr:row>
      <xdr:rowOff>283554</xdr:rowOff>
    </xdr:from>
    <xdr:to>
      <xdr:col>5</xdr:col>
      <xdr:colOff>885092</xdr:colOff>
      <xdr:row>15</xdr:row>
      <xdr:rowOff>382613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0</xdr:row>
      <xdr:rowOff>128588</xdr:rowOff>
    </xdr:from>
    <xdr:to>
      <xdr:col>14</xdr:col>
      <xdr:colOff>161924</xdr:colOff>
      <xdr:row>3</xdr:row>
      <xdr:rowOff>390526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3DC24-933B-E90F-50A5-1A25D3ADB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04657-FA45-4B59-BD06-17D3906B339A}" name="ExpenseData" displayName="ExpenseData" ref="A1:G42" totalsRowCount="1" headerRowDxfId="91" dataDxfId="90" totalsRowDxfId="89" headerRowBorderDxfId="87" tableBorderDxfId="88" totalsRowBorderDxfId="86">
  <autoFilter ref="A1:G41" xr:uid="{84904657-FA45-4B59-BD06-17D3906B339A}"/>
  <sortState xmlns:xlrd2="http://schemas.microsoft.com/office/spreadsheetml/2017/richdata2" ref="A2:F41">
    <sortCondition ref="D1:D41"/>
  </sortState>
  <tableColumns count="7">
    <tableColumn id="1" xr3:uid="{6A22CF9B-AB62-47B9-99B7-2B014F333657}" name="Expense Type" totalsRowLabel="Total" dataDxfId="84" totalsRowDxfId="85"/>
    <tableColumn id="9" xr3:uid="{2B6EA42F-02BC-4B2F-9ED0-C9460179BC9D}" name="Budget" totalsRowFunction="sum" dataDxfId="82" totalsRowDxfId="83"/>
    <tableColumn id="10" xr3:uid="{14949A4C-B050-4536-8B2F-B780AEC2C157}" name="Category" dataDxfId="80" totalsRowDxfId="81"/>
    <tableColumn id="2" xr3:uid="{4D5272BD-0484-424F-BA06-0E8D472BF594}" name="Required" dataDxfId="78" totalsRowDxfId="79"/>
    <tableColumn id="3" xr3:uid="{74978692-0E26-4A14-9D2F-2C6C42FE8E04}" name="Account" dataDxfId="76" totalsRowDxfId="77"/>
    <tableColumn id="4" xr3:uid="{45CFD11C-0461-40C4-9CEB-E3C0925E8853}" name="Init" dataDxfId="74" totalsRowDxfId="75"/>
    <tableColumn id="5" xr3:uid="{8288DAC1-3B6F-4FAB-A945-9ADFC108251D}" name="MLB" dataDxfId="72" totalsRowDxfId="73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D0D595-911E-44AC-9D1F-9FF6A5DD7F67}" name="IncomeData" displayName="IncomeData" ref="B1:L4" totalsRowCount="1" headerRowBorderDxfId="70" tableBorderDxfId="71" totalsRowBorderDxfId="69">
  <autoFilter ref="B1:L3" xr:uid="{29D0D595-911E-44AC-9D1F-9FF6A5DD7F67}"/>
  <sortState xmlns:xlrd2="http://schemas.microsoft.com/office/spreadsheetml/2017/richdata2" ref="B2:K3">
    <sortCondition descending="1" ref="B1:B3"/>
  </sortState>
  <tableColumns count="11">
    <tableColumn id="1" xr3:uid="{C4F0EB50-B207-4E5C-B613-51AEB105D04E}" name="Source" totalsRowLabel="Totals or Average:" dataDxfId="67" totalsRowDxfId="68"/>
    <tableColumn id="11" xr3:uid="{AA1EC2D0-055A-4117-8B4A-1866CD82BC96}" name="Salary" totalsRowFunction="sum" dataDxfId="65" totalsRowDxfId="66"/>
    <tableColumn id="3" xr3:uid="{22ED95EF-4CFA-4B60-93E4-FBBE4E635799}" name="Gross" totalsRowFunction="sum" dataDxfId="63" totalsRowDxfId="64">
      <calculatedColumnFormula>76000/26</calculatedColumnFormula>
    </tableColumn>
    <tableColumn id="4" xr3:uid="{1213BF3C-4054-4694-AF4B-08421DE58ECD}" name="Net" totalsRowFunction="sum" dataDxfId="61" totalsRowDxfId="62"/>
    <tableColumn id="9" xr3:uid="{8B3A45CE-71BC-46E0-B302-DB8969B46BEE}" name="Hours" totalsRowFunction="average" dataDxfId="59" totalsRowDxfId="60"/>
    <tableColumn id="12" xr3:uid="{EAF80631-1055-4621-BD68-72E48FF711B8}" name="Hourly Rate" totalsRowFunction="average" dataDxfId="57" totalsRowDxfId="58">
      <calculatedColumnFormula>IncomeData[[#This Row],[Gross]]/IncomeData[[#This Row],[Hours]]</calculatedColumnFormula>
    </tableColumn>
    <tableColumn id="8" xr3:uid="{882B5ECC-E83C-47B8-9EDD-27574CF34B4B}" name="Income Rate" totalsRowFunction="average" dataDxfId="55" totalsRowDxfId="56">
      <calculatedColumnFormula>IncomeData[[#This Row],[Net]]/IncomeData[[#This Row],[Hours]]</calculatedColumnFormula>
    </tableColumn>
    <tableColumn id="7" xr3:uid="{706AD527-B1C6-4386-9D13-89AC2EF2AF63}" name="Deductions" totalsRowFunction="average" dataDxfId="53" totalsRowDxfId="54">
      <calculatedColumnFormula>1-(IncomeData[[#This Row],[Net]]/IncomeData[[#This Row],[Gross]])</calculatedColumnFormula>
    </tableColumn>
    <tableColumn id="6" xr3:uid="{35CC3807-839D-4034-9235-1D3CFEAC4041}" name="Monthly" totalsRowFunction="sum" dataDxfId="51" totalsRowDxfId="52">
      <calculatedColumnFormula>IncomeData[[#This Row],[Yearly]]/12</calculatedColumnFormula>
    </tableColumn>
    <tableColumn id="10" xr3:uid="{4E57B412-CFA0-4ADD-B030-F0F997CCA503}" name="Yearly" totalsRowFunction="sum" dataDxfId="49" totalsRowDxfId="50">
      <calculatedColumnFormula>IncomeData[[#This Row],[Net]]*26</calculatedColumnFormula>
    </tableColumn>
    <tableColumn id="2" xr3:uid="{BB7A638D-8712-45CD-9FC6-191EA0B22399}" name="Column1" dataDxfId="47" totalsRowDxfId="48">
      <calculatedColumnFormula>IncomeData[[#This Row],[Yearly]]/IncomeData[[#Totals],[Yearly]]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6D3282-4886-4756-9EC8-4B2B8FDB93BD}" name="Transactions" displayName="Transactions" ref="A1:I2294" totalsRowShown="0" headerRowDxfId="43" headerRowBorderDxfId="41" tableBorderDxfId="42">
  <autoFilter ref="A1:I2294" xr:uid="{9D6D3282-4886-4756-9EC8-4B2B8FDB93BD}"/>
  <sortState xmlns:xlrd2="http://schemas.microsoft.com/office/spreadsheetml/2017/richdata2" ref="A2:I2294">
    <sortCondition ref="D1:D2294"/>
  </sortState>
  <tableColumns count="9">
    <tableColumn id="1" xr3:uid="{79F71FC3-6408-4BA5-A4F4-E0E2DC71ADF8}" name="ID"/>
    <tableColumn id="10" xr3:uid="{BC13F3B8-9F4D-4F65-A2C2-8AE5C82957C0}" name="Month"/>
    <tableColumn id="11" xr3:uid="{E042CE1D-E100-48EC-AB7E-9BAEF94EEC31}" name="Year"/>
    <tableColumn id="2" xr3:uid="{63522BAF-D00D-433E-B582-741DACE45211}" name="Date" dataDxfId="40"/>
    <tableColumn id="7" xr3:uid="{7689E494-5A8C-402E-9F64-0023950DAC17}" name="Account" dataDxfId="39"/>
    <tableColumn id="6" xr3:uid="{A3754791-EEC5-4451-953C-CCBFF959D385}" name="Expense Type" dataDxfId="38"/>
    <tableColumn id="5" xr3:uid="{F9A6BA38-D879-4975-9ECD-D659FAB318C2}" name="Amount" dataDxfId="37"/>
    <tableColumn id="3" xr3:uid="{1C8AAF49-7538-492D-AF69-7BF388105E44}" name="Description"/>
    <tableColumn id="9" xr3:uid="{2EB68462-46CC-4F9D-BFB1-09B6D1672A64}" name="Memo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B4BC71-A334-4932-9FA7-E257B5DFFAD9}" name="Rollovers" displayName="Rollovers" ref="A1:F985" totalsRowShown="0" headerRowBorderDxfId="34" tableBorderDxfId="35" totalsRowBorderDxfId="33">
  <autoFilter ref="A1:F985" xr:uid="{4EB4BC71-A334-4932-9FA7-E257B5DFFAD9}"/>
  <sortState xmlns:xlrd2="http://schemas.microsoft.com/office/spreadsheetml/2017/richdata2" ref="A2:F985">
    <sortCondition ref="C1:C985"/>
  </sortState>
  <tableColumns count="6">
    <tableColumn id="1" xr3:uid="{9669DC1B-FC40-427D-835D-A96E8AF249E4}" name="Month" dataDxfId="32"/>
    <tableColumn id="3" xr3:uid="{627E862F-7AD3-4421-9277-027069047E7E}" name="Year" dataDxfId="31"/>
    <tableColumn id="5" xr3:uid="{C3692B21-F298-4B1F-9861-7CFC4B9A12A5}" name="Expense" dataDxfId="30"/>
    <tableColumn id="7" xr3:uid="{0E3649DF-BC0C-48E7-A05D-BE2B787B1DAA}" name="Expenses" dataDxfId="29"/>
    <tableColumn id="9" xr3:uid="{98F870D0-593E-4A0A-B0A4-812B9CE0E2CB}" name="BOM" dataDxfId="28"/>
    <tableColumn id="6" xr3:uid="{024F9476-EB1B-4BB4-8852-36D2A38F7142}" name="EOM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3E6A05-25E9-455A-B132-BD015428F930}" name="BudgetHistory" displayName="BudgetHistory" ref="A1:H41" totalsRowShown="0" headerRowDxfId="26" dataDxfId="25" headerRowBorderDxfId="23" tableBorderDxfId="24" totalsRowBorderDxfId="22">
  <autoFilter ref="A1:H41" xr:uid="{C83E6A05-25E9-455A-B132-BD015428F930}"/>
  <sortState xmlns:xlrd2="http://schemas.microsoft.com/office/spreadsheetml/2017/richdata2" ref="A2:H41">
    <sortCondition ref="A1:A41"/>
  </sortState>
  <tableColumns count="8">
    <tableColumn id="1" xr3:uid="{2C6368C7-12BE-4A2D-8D95-A3C5CF93ABDD}" name="Expense" dataDxfId="21"/>
    <tableColumn id="2" xr3:uid="{3F77C703-32B5-48BD-ADF2-525A113603AB}" name="Month Start" dataDxfId="20"/>
    <tableColumn id="3" xr3:uid="{6ED867F3-BD6C-4AF3-BCCC-5440C03E1BA4}" name="Year Start" dataDxfId="19"/>
    <tableColumn id="7" xr3:uid="{6673D3DD-27CD-4DDE-8E87-4C286AAD9429}" name="StartDate" dataDxfId="18">
      <calculatedColumnFormula>DATE(BudgetHistory[[#This Row],[Year Start]],BudgetHistory[[#This Row],[Month Start]],1)</calculatedColumnFormula>
    </tableColumn>
    <tableColumn id="4" xr3:uid="{A7BCD72D-41EC-4DE3-A8B5-2EA31C59DF08}" name="Month End" dataDxfId="17"/>
    <tableColumn id="5" xr3:uid="{32A5E98D-2251-4CAC-836C-E40AC47CC438}" name="Year End" dataDxfId="16"/>
    <tableColumn id="8" xr3:uid="{DEDF9E69-F8F6-48FF-956F-75512A54D82A}" name="EndDate" dataDxfId="15">
      <calculatedColumnFormula>EOMONTH(DATE(BudgetHistory[[#This Row],[Year End]],BudgetHistory[[#This Row],[Month End]],1),0)</calculatedColumnFormula>
    </tableColumn>
    <tableColumn id="6" xr3:uid="{86988EBC-39B9-4F16-B86C-99F92B8186C4}" name="Amount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5B8109-1254-464E-A800-CCC833B8B893}" name="MatchingRules" displayName="MatchingRules" ref="A1:D485" totalsRowShown="0" headerRowDxfId="13" headerRowBorderDxfId="11" tableBorderDxfId="12" dataCellStyle="Normal">
  <sortState xmlns:xlrd2="http://schemas.microsoft.com/office/spreadsheetml/2017/richdata2" ref="A2:D69">
    <sortCondition ref="A2:A69"/>
    <sortCondition ref="B2:B69"/>
    <sortCondition ref="C2:C69"/>
  </sortState>
  <tableColumns count="4">
    <tableColumn id="1" xr3:uid="{355DBC49-99D1-4438-B84E-2C343CB6B498}" name="Match 1" dataCellStyle="Normal"/>
    <tableColumn id="2" xr3:uid="{C357E6E2-C681-4D09-A234-F5D997F2686E}" name="Match 2" dataCellStyle="Normal"/>
    <tableColumn id="3" xr3:uid="{14D386DB-EC3F-4A3A-8AA0-D6416A0627DA}" name="Amount" dataCellStyle="Normal"/>
    <tableColumn id="4" xr3:uid="{D75F8A30-65C0-4C48-A237-20A7D2012F0E}" name="Expense Type" dataCellStyle="Norm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2279A6-DC59-4A22-8B63-C2887D7717E1}" name="Accounts" displayName="Accounts" ref="A2:G9" totalsRowShown="0" headerRowDxfId="10" dataDxfId="9" headerRowBorderDxfId="7" tableBorderDxfId="8">
  <autoFilter ref="A2:G9" xr:uid="{232279A6-DC59-4A22-8B63-C2887D7717E1}"/>
  <tableColumns count="7">
    <tableColumn id="1" xr3:uid="{1A610939-6EB0-4746-AC1A-CACBB3D1D2E6}" name="Number" dataDxfId="6"/>
    <tableColumn id="2" xr3:uid="{BF58C71E-0D31-4143-982D-85BFEDA375B6}" name="Name" dataDxfId="5"/>
    <tableColumn id="7" xr3:uid="{7DBFC615-F683-4A74-B9AC-9945DA39884F}" name="Cushion" dataDxfId="4"/>
    <tableColumn id="3" xr3:uid="{330420AC-85CD-4329-8815-211106EAAAE4}" name="Expected" dataDxfId="3">
      <calculatedColumnFormula>SUM(Budget!G26:G26)</calculatedColumnFormula>
    </tableColumn>
    <tableColumn id="6" xr3:uid="{9D1093BB-BE17-4D95-86E5-ADF6898F1598}" name="Total" dataDxfId="2"/>
    <tableColumn id="4" xr3:uid="{9455DB53-79D1-4655-A5E4-F31CC5E51175}" name="Actual" dataDxfId="1"/>
    <tableColumn id="5" xr3:uid="{D46FD2D4-D3C7-44A4-BBCE-30FDCE194C49}" name="Surplus" dataDxfId="0">
      <calculatedColumnFormula>Accounts[[#This Row],[Actual]]-Accounts[[#This Row],[Expected]]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18A820-3ED0-4EF5-BF3A-C14889F50CB2}">
  <we:reference id="328b3e06-0df7-4a96-ae16-dbc6f17aa6c0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77FD-3C25-4468-B3A2-4D06F56B887E}">
  <dimension ref="B1:M31"/>
  <sheetViews>
    <sheetView zoomScale="120" zoomScaleNormal="120" workbookViewId="0">
      <selection activeCell="Q12" sqref="Q12"/>
    </sheetView>
  </sheetViews>
  <sheetFormatPr defaultRowHeight="15"/>
  <cols>
    <col min="1" max="1" width="4.28515625" customWidth="1"/>
    <col min="2" max="2" width="18.7109375" customWidth="1"/>
    <col min="4" max="12" width="15.5703125" customWidth="1"/>
    <col min="13" max="13" width="11" customWidth="1"/>
  </cols>
  <sheetData>
    <row r="1" spans="2:13" ht="16.5" customHeight="1" thickBot="1"/>
    <row r="2" spans="2:13" ht="33.75" customHeight="1" thickBot="1">
      <c r="B2" s="126" t="s">
        <v>0</v>
      </c>
      <c r="D2" s="128" t="s">
        <v>1</v>
      </c>
      <c r="E2" s="129"/>
      <c r="F2" s="129"/>
      <c r="G2" s="129"/>
      <c r="H2" s="129"/>
      <c r="I2" s="129"/>
      <c r="J2" s="129"/>
      <c r="K2" s="129"/>
      <c r="L2" s="129"/>
      <c r="M2" s="129"/>
    </row>
    <row r="3" spans="2:13" ht="33.75" customHeight="1" thickBot="1">
      <c r="B3" s="127"/>
      <c r="D3" s="11" t="s">
        <v>2</v>
      </c>
      <c r="E3" s="11" t="s">
        <v>3</v>
      </c>
      <c r="F3" s="11" t="s">
        <v>4</v>
      </c>
      <c r="G3" s="116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2:13" ht="33.75" customHeight="1" thickBot="1">
      <c r="B4" s="29" cm="1">
        <f t="array" aca="1" ref="B4" ca="1">TotalMonthlyExpenses*12</f>
        <v>89170.590714285732</v>
      </c>
      <c r="D4" s="10">
        <f t="shared" ref="D4:F4" si="0">SUMIF(Categories,D3,ExpenseBudgets)*12</f>
        <v>23701.02</v>
      </c>
      <c r="E4" s="10">
        <f t="shared" si="0"/>
        <v>8658</v>
      </c>
      <c r="F4" s="10">
        <f t="shared" si="0"/>
        <v>4080</v>
      </c>
      <c r="G4" s="10">
        <f t="shared" ref="G4:M4" ca="1" si="1">SUMIF(Categories,G3,ExpenseBudgets)*12</f>
        <v>9568.1307142857131</v>
      </c>
      <c r="H4" s="10">
        <f t="shared" si="1"/>
        <v>6717.28</v>
      </c>
      <c r="I4" s="10">
        <f t="shared" si="1"/>
        <v>8400</v>
      </c>
      <c r="J4" s="10">
        <f t="shared" si="1"/>
        <v>12360</v>
      </c>
      <c r="K4" s="10">
        <f t="shared" si="1"/>
        <v>6283.92</v>
      </c>
      <c r="L4" s="10">
        <f t="shared" si="1"/>
        <v>9282.24</v>
      </c>
      <c r="M4" s="10">
        <f t="shared" si="1"/>
        <v>120</v>
      </c>
    </row>
    <row r="5" spans="2:13" ht="33.75" customHeight="1" thickBot="1"/>
    <row r="6" spans="2:13" ht="33.75" customHeight="1" thickBot="1">
      <c r="B6" s="126" t="s">
        <v>12</v>
      </c>
      <c r="E6" s="11" t="s">
        <v>13</v>
      </c>
      <c r="F6" s="11" t="s">
        <v>14</v>
      </c>
      <c r="G6" s="11" t="s">
        <v>15</v>
      </c>
    </row>
    <row r="7" spans="2:13" ht="33.75" customHeight="1" thickBot="1">
      <c r="B7" s="127"/>
      <c r="D7" s="11" t="s">
        <v>16</v>
      </c>
      <c r="E7" s="10">
        <f>SUMIFS(ExpenseBudgets,Requiredness,E6,ExpenseAccounts,D7)*12</f>
        <v>39079.020000000004</v>
      </c>
      <c r="F7" s="10">
        <f>SUMIFS(ExpenseBudgets,Requiredness,F6,ExpenseAccounts,D7)*12</f>
        <v>8486.16</v>
      </c>
      <c r="G7" s="10">
        <f>SUMIF(ExpenseAccounts,D7,ExpenseBudgets)*12</f>
        <v>54282.460000000006</v>
      </c>
    </row>
    <row r="8" spans="2:13" ht="33.75" customHeight="1" thickBot="1">
      <c r="B8" s="29" cm="1">
        <f t="array" ref="B8">TotalMonthlyIncome*12</f>
        <v>96410.34</v>
      </c>
      <c r="D8" s="11" t="s">
        <v>17</v>
      </c>
      <c r="E8" s="10">
        <f>SUMIFS(ExpenseBudgets,Requiredness,E6,ExpenseAccounts,D8)*12</f>
        <v>2400</v>
      </c>
      <c r="F8" s="10">
        <f ca="1">SUMIFS(ExpenseBudgets,Requiredness,F6,ExpenseAccounts,D8)*12</f>
        <v>22888.130714285711</v>
      </c>
      <c r="G8" s="10">
        <f ca="1">SUMIF(ExpenseAccounts,D8,ExpenseBudgets)*12</f>
        <v>34888.130714285711</v>
      </c>
    </row>
    <row r="9" spans="2:13" ht="33.75" customHeight="1" thickBot="1">
      <c r="D9" s="11" t="s">
        <v>15</v>
      </c>
      <c r="E9" s="10">
        <f>SUMIF(Requiredness,E6,ExpenseBudgets)*12</f>
        <v>41479.020000000004</v>
      </c>
      <c r="F9" s="10">
        <f ca="1">SUMIF(Requiredness,F6,ExpenseBudgets)*12</f>
        <v>31374.290714285711</v>
      </c>
      <c r="G9" s="2"/>
    </row>
    <row r="10" spans="2:13" ht="33.75" customHeight="1">
      <c r="B10" s="126" t="s">
        <v>18</v>
      </c>
    </row>
    <row r="11" spans="2:13" ht="33.75" customHeight="1" thickBot="1">
      <c r="B11" s="127"/>
    </row>
    <row r="12" spans="2:13" ht="33.75" customHeight="1" thickBot="1">
      <c r="B12" s="29" cm="1">
        <f t="array" aca="1" ref="B12" ca="1">(TotalMonthlyIncome-TotalMonthlyExpenses)*12</f>
        <v>7239.7492857142715</v>
      </c>
    </row>
    <row r="13" spans="2:13" ht="33.75" customHeight="1"/>
    <row r="14" spans="2:13" ht="33.75" customHeight="1"/>
    <row r="15" spans="2:13" ht="33.75" customHeight="1"/>
    <row r="16" spans="2:13" ht="33.75" customHeight="1"/>
    <row r="17" ht="33.75" customHeight="1"/>
    <row r="18" ht="33.75" customHeight="1"/>
    <row r="19" ht="33.75" customHeight="1"/>
    <row r="20" ht="33.75" customHeight="1"/>
    <row r="21" ht="33.75" customHeight="1"/>
    <row r="22" ht="33.75" customHeight="1"/>
    <row r="23" ht="33.75" customHeight="1"/>
    <row r="24" ht="33.75" customHeight="1"/>
    <row r="25" ht="33.75" customHeight="1"/>
    <row r="26" ht="33.75" customHeight="1"/>
    <row r="27" ht="33.75" customHeight="1"/>
    <row r="28" ht="33.75" customHeight="1"/>
    <row r="29" ht="33.75" customHeight="1"/>
    <row r="30" ht="33.75" customHeight="1"/>
    <row r="31" ht="33.75" customHeight="1"/>
  </sheetData>
  <mergeCells count="4">
    <mergeCell ref="B2:B3"/>
    <mergeCell ref="B6:B7"/>
    <mergeCell ref="B10:B11"/>
    <mergeCell ref="D2:M2"/>
  </mergeCells>
  <dataValidations count="3">
    <dataValidation type="list" allowBlank="1" showInputMessage="1" showErrorMessage="1" sqref="D7:D8" xr:uid="{01FEAFA0-0FF1-4A0B-BADE-AF2629A9A8B6}">
      <formula1>ExpenseAccounts</formula1>
    </dataValidation>
    <dataValidation type="list" allowBlank="1" showInputMessage="1" showErrorMessage="1" sqref="E6:F6" xr:uid="{BEA58F0E-F10D-436A-821B-9AF447072253}">
      <formula1>Requiredness</formula1>
    </dataValidation>
    <dataValidation type="list" allowBlank="1" showInputMessage="1" showErrorMessage="1" sqref="D3:F3 H3:M3" xr:uid="{FC5E83F4-AC88-4E7F-8E12-C6B42BCDC971}">
      <formula1>Categories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5FCC-B60D-4E35-BC4C-E52F25447AE0}">
  <dimension ref="B1:M31"/>
  <sheetViews>
    <sheetView topLeftCell="A3" zoomScale="115" zoomScaleNormal="115" workbookViewId="0">
      <selection activeCell="G12" sqref="G12"/>
    </sheetView>
  </sheetViews>
  <sheetFormatPr defaultRowHeight="15"/>
  <cols>
    <col min="1" max="1" width="4.28515625" customWidth="1"/>
    <col min="2" max="2" width="18.7109375" customWidth="1"/>
    <col min="4" max="12" width="15.5703125" customWidth="1"/>
  </cols>
  <sheetData>
    <row r="1" spans="2:13" ht="20.25" customHeight="1" thickBot="1"/>
    <row r="2" spans="2:13" ht="33.75" customHeight="1" thickBot="1">
      <c r="B2" s="126" t="s">
        <v>0</v>
      </c>
      <c r="D2" s="128" t="s">
        <v>19</v>
      </c>
      <c r="E2" s="129"/>
      <c r="F2" s="129"/>
      <c r="G2" s="129"/>
      <c r="H2" s="129"/>
      <c r="I2" s="129"/>
      <c r="J2" s="129"/>
      <c r="K2" s="129"/>
      <c r="L2" s="129"/>
      <c r="M2" s="129"/>
    </row>
    <row r="3" spans="2:13" ht="33.75" customHeight="1" thickBot="1">
      <c r="B3" s="127"/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</row>
    <row r="4" spans="2:13" ht="33.75" customHeight="1" thickBot="1">
      <c r="B4" s="29" cm="1">
        <f t="array" aca="1" ref="B4" ca="1">TotalMonthlyExpenses</f>
        <v>7430.8825595238104</v>
      </c>
      <c r="D4" s="10">
        <f t="shared" ref="D4:E4" si="0">SUMIF(Categories,D3,ExpenseBudgets)</f>
        <v>1975.085</v>
      </c>
      <c r="E4" s="10">
        <f t="shared" si="0"/>
        <v>721.5</v>
      </c>
      <c r="F4" s="10">
        <f t="shared" ref="F4:M4" si="1">SUMIF(Categories,F3,ExpenseBudgets)</f>
        <v>340</v>
      </c>
      <c r="G4" s="10">
        <f t="shared" ca="1" si="1"/>
        <v>797.34422619047609</v>
      </c>
      <c r="H4" s="10">
        <f t="shared" si="1"/>
        <v>559.77333333333331</v>
      </c>
      <c r="I4" s="10">
        <f t="shared" si="1"/>
        <v>700</v>
      </c>
      <c r="J4" s="10">
        <f t="shared" si="1"/>
        <v>1030</v>
      </c>
      <c r="K4" s="10">
        <f t="shared" si="1"/>
        <v>523.66</v>
      </c>
      <c r="L4" s="10">
        <f t="shared" si="1"/>
        <v>773.52</v>
      </c>
      <c r="M4" s="10">
        <f t="shared" si="1"/>
        <v>10</v>
      </c>
    </row>
    <row r="5" spans="2:13" ht="33.75" customHeight="1" thickBot="1"/>
    <row r="6" spans="2:13" ht="33.75" customHeight="1" thickBot="1">
      <c r="B6" s="126" t="s">
        <v>12</v>
      </c>
    </row>
    <row r="7" spans="2:13" ht="33.75" customHeight="1" thickBot="1">
      <c r="B7" s="127"/>
      <c r="E7" s="11" t="s">
        <v>13</v>
      </c>
      <c r="F7" s="11" t="s">
        <v>20</v>
      </c>
      <c r="G7" s="11" t="s">
        <v>14</v>
      </c>
      <c r="H7" s="11" t="s">
        <v>15</v>
      </c>
    </row>
    <row r="8" spans="2:13" ht="33.75" customHeight="1" thickBot="1">
      <c r="B8" s="29" cm="1">
        <f t="array" ref="B8">TotalMonthlyIncome</f>
        <v>8034.1949999999997</v>
      </c>
      <c r="D8" s="11" t="s">
        <v>16</v>
      </c>
      <c r="E8" s="10">
        <f>SUMIFS(ExpenseBudgets,Requiredness,E7,ExpenseAccounts,D8)</f>
        <v>3256.585</v>
      </c>
      <c r="F8" s="10">
        <f>SUMIFS(ExpenseBudgets,Requiredness,F7,ExpenseAccounts,D8)</f>
        <v>559.77333333333331</v>
      </c>
      <c r="G8" s="10">
        <f>SUMIFS(ExpenseBudgets,Requiredness,G7,ExpenseAccounts,D8)</f>
        <v>707.18000000000006</v>
      </c>
      <c r="H8" s="10">
        <f>SUMIF(ExpenseAccounts,D8,ExpenseBudgets)</f>
        <v>4523.5383333333339</v>
      </c>
    </row>
    <row r="9" spans="2:13" ht="33.75" customHeight="1" thickBot="1">
      <c r="D9" s="11" t="s">
        <v>17</v>
      </c>
      <c r="E9" s="10">
        <f>SUMIFS(ExpenseBudgets,Requiredness,E7,ExpenseAccounts,D9)</f>
        <v>200</v>
      </c>
      <c r="F9" s="10">
        <f>SUMIFS(ExpenseBudgets,Requiredness,F7,ExpenseAccounts,D9)</f>
        <v>800</v>
      </c>
      <c r="G9" s="10">
        <f ca="1">SUMIFS(ExpenseBudgets,Requiredness,G7,ExpenseAccounts,D9)</f>
        <v>1907.3442261904761</v>
      </c>
      <c r="H9" s="10">
        <f ca="1">SUMIF(ExpenseAccounts,D9,ExpenseBudgets)</f>
        <v>2907.3442261904761</v>
      </c>
    </row>
    <row r="10" spans="2:13" ht="33.75" customHeight="1" thickBot="1">
      <c r="B10" s="126" t="s">
        <v>18</v>
      </c>
      <c r="D10" s="11" t="s">
        <v>15</v>
      </c>
      <c r="E10" s="10">
        <f>SUMIF(Requiredness,E7,ExpenseBudgets)</f>
        <v>3456.585</v>
      </c>
      <c r="F10" s="10">
        <f>SUMIF(Requiredness,F7,ExpenseBudgets)</f>
        <v>1359.7733333333333</v>
      </c>
      <c r="G10" s="10">
        <f ca="1">SUMIF(Requiredness,G7,ExpenseBudgets)</f>
        <v>2614.5242261904759</v>
      </c>
      <c r="H10" s="2"/>
    </row>
    <row r="11" spans="2:13" ht="33.75" customHeight="1" thickBot="1">
      <c r="B11" s="127"/>
    </row>
    <row r="12" spans="2:13" ht="33.75" customHeight="1" thickBot="1">
      <c r="B12" s="29" cm="1">
        <f t="array" aca="1" ref="B12" ca="1">TotalMonthlyIncome-TotalMonthlyExpenses</f>
        <v>603.31244047618929</v>
      </c>
      <c r="G12" s="2">
        <f>E10+F10</f>
        <v>4816.3583333333336</v>
      </c>
      <c r="H12" s="2"/>
    </row>
    <row r="13" spans="2:13" ht="33.75" customHeight="1">
      <c r="G13" s="2"/>
      <c r="H13" s="2"/>
    </row>
    <row r="14" spans="2:13" ht="33.75" customHeight="1"/>
    <row r="15" spans="2:13" ht="33.75" customHeight="1"/>
    <row r="16" spans="2:13" ht="33.75" customHeight="1"/>
    <row r="17" ht="33.75" customHeight="1"/>
    <row r="18" ht="33.75" customHeight="1"/>
    <row r="19" ht="33.75" customHeight="1"/>
    <row r="20" ht="33.75" customHeight="1"/>
    <row r="21" ht="33.75" customHeight="1"/>
    <row r="22" ht="33.75" customHeight="1"/>
    <row r="23" ht="33.75" customHeight="1"/>
    <row r="24" ht="33.75" customHeight="1"/>
    <row r="25" ht="33.75" customHeight="1"/>
    <row r="26" ht="33.75" customHeight="1"/>
    <row r="27" ht="33.75" customHeight="1"/>
    <row r="28" ht="33.75" customHeight="1"/>
    <row r="29" ht="33.75" customHeight="1"/>
    <row r="30" ht="33.75" customHeight="1"/>
    <row r="31" ht="33.75" customHeight="1"/>
  </sheetData>
  <mergeCells count="4">
    <mergeCell ref="B2:B3"/>
    <mergeCell ref="B6:B7"/>
    <mergeCell ref="B10:B11"/>
    <mergeCell ref="D2:M2"/>
  </mergeCells>
  <dataValidations count="3">
    <dataValidation type="list" allowBlank="1" showInputMessage="1" showErrorMessage="1" sqref="D8:D9" xr:uid="{2EE1D6FA-9320-4851-9B04-93A46F6A4F2C}">
      <formula1>ExpenseAccounts</formula1>
    </dataValidation>
    <dataValidation type="list" allowBlank="1" showInputMessage="1" showErrorMessage="1" sqref="E7:G7" xr:uid="{A722D50C-B0EE-4527-B239-BB905A23B404}">
      <formula1>Requiredness</formula1>
    </dataValidation>
    <dataValidation type="list" allowBlank="1" showInputMessage="1" showErrorMessage="1" sqref="D3:E3 G3:M3" xr:uid="{69B3115C-9BD9-4F5E-BE93-37C4C9535DCF}">
      <formula1>Categories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2A75-502B-42E9-AAFA-A8BA671B28A0}">
  <dimension ref="A1:U22"/>
  <sheetViews>
    <sheetView tabSelected="1" topLeftCell="P1" zoomScaleNormal="100" workbookViewId="0">
      <pane ySplit="2" topLeftCell="A3" activePane="bottomLeft" state="frozen"/>
      <selection pane="bottomLeft" activeCell="A3" sqref="A3"/>
      <selection activeCell="G1" sqref="G1"/>
    </sheetView>
  </sheetViews>
  <sheetFormatPr defaultColWidth="15.42578125" defaultRowHeight="24.75" customHeight="1"/>
  <cols>
    <col min="1" max="1" width="8.28515625" bestFit="1" customWidth="1"/>
    <col min="2" max="2" width="8.42578125" bestFit="1" customWidth="1"/>
    <col min="3" max="3" width="22.42578125" bestFit="1" customWidth="1"/>
    <col min="4" max="4" width="11.42578125" bestFit="1" customWidth="1"/>
    <col min="5" max="5" width="12" bestFit="1" customWidth="1"/>
    <col min="6" max="6" width="11.5703125" customWidth="1"/>
    <col min="7" max="7" width="13" bestFit="1" customWidth="1"/>
    <col min="8" max="8" width="4.5703125" customWidth="1"/>
    <col min="9" max="9" width="19.5703125" bestFit="1" customWidth="1"/>
    <col min="10" max="10" width="12.140625" bestFit="1" customWidth="1"/>
    <col min="11" max="11" width="12" bestFit="1" customWidth="1"/>
    <col min="12" max="12" width="12.140625" bestFit="1" customWidth="1"/>
    <col min="13" max="13" width="13" bestFit="1" customWidth="1"/>
    <col min="14" max="14" width="6.42578125" customWidth="1"/>
    <col min="15" max="15" width="20.28515625" bestFit="1" customWidth="1"/>
    <col min="16" max="16" width="12.85546875" customWidth="1"/>
    <col min="17" max="17" width="12" bestFit="1" customWidth="1"/>
    <col min="18" max="18" width="15.85546875" bestFit="1" customWidth="1"/>
    <col min="19" max="19" width="15.85546875" customWidth="1"/>
    <col min="20" max="20" width="7.42578125" customWidth="1"/>
  </cols>
  <sheetData>
    <row r="1" spans="1:21" ht="28.5" customHeight="1" thickBot="1">
      <c r="A1" s="11" t="s">
        <v>21</v>
      </c>
      <c r="B1" s="11" t="s">
        <v>22</v>
      </c>
      <c r="D1" s="129" t="s">
        <v>23</v>
      </c>
      <c r="E1" s="129"/>
      <c r="F1" s="129"/>
      <c r="G1" s="129"/>
      <c r="J1" s="129" t="s">
        <v>23</v>
      </c>
      <c r="K1" s="129"/>
      <c r="L1" s="129"/>
      <c r="M1" s="129"/>
      <c r="P1" s="129" t="s">
        <v>24</v>
      </c>
      <c r="Q1" s="129"/>
      <c r="R1" s="129"/>
      <c r="S1" s="129"/>
    </row>
    <row r="2" spans="1:21" ht="24.75" customHeight="1" thickBot="1">
      <c r="A2" s="45">
        <v>2</v>
      </c>
      <c r="B2" s="45">
        <v>2025</v>
      </c>
      <c r="D2" s="66" t="s">
        <v>25</v>
      </c>
      <c r="E2" s="66" t="s">
        <v>26</v>
      </c>
      <c r="F2" s="66" t="s">
        <v>27</v>
      </c>
      <c r="G2" s="66" t="s">
        <v>28</v>
      </c>
      <c r="J2" s="66" t="s">
        <v>25</v>
      </c>
      <c r="K2" s="66" t="s">
        <v>26</v>
      </c>
      <c r="L2" s="66" t="s">
        <v>27</v>
      </c>
      <c r="M2" s="66" t="s">
        <v>28</v>
      </c>
      <c r="P2" s="66" t="s">
        <v>25</v>
      </c>
      <c r="Q2" s="66" t="s">
        <v>26</v>
      </c>
      <c r="R2" s="66" t="s">
        <v>27</v>
      </c>
      <c r="S2" s="66" t="s">
        <v>28</v>
      </c>
    </row>
    <row r="3" spans="1:21" ht="24.75" customHeight="1" thickBot="1">
      <c r="C3" s="65" t="s">
        <v>29</v>
      </c>
      <c r="D3" s="67" cm="1">
        <f t="array" ref="D3">INDEX(Rollovers[BOM], MATCH(1, (Rollovers[Month]=CurrentMonth)*(Rollovers[Year]=CurrentYear)*(Rollovers[Expense]=C3), 0))</f>
        <v>2.5</v>
      </c>
      <c r="E3" s="67">
        <f>_xlfn.LET(
  _xlpm.CurrDate,    DATE(CurrentYear,CurrentMonth,1),
  _xlpm.Result,      SUMIFS(
                 BudgetHistory[Amount],
                 BudgetHistory[Expense],   C3,
                 BudgetHistory[StartDate], "&lt;=" &amp; _xlpm.CurrDate,
                 BudgetHistory[EndDate],   "&gt;=" &amp; _xlpm.CurrDate
               ),
  IF(_xlpm.Result = 0, INDEX(ExpenseBudgets, MATCH(C3, Expenses!$A:$A, 0)), _xlpm.Result)
)</f>
        <v>226</v>
      </c>
      <c r="F3" s="67" cm="1">
        <f t="array" ref="F3">SUMIFS(TransactionsAmount, TransactionExpenseType, C3, TransactionDates, "&gt;=" &amp; DATE(CurrentYear, CurrentMonth, 1), TransactionDates, "&lt;" &amp; DATE(CurrentYear + IF(CurrentMonth=12, 1, 0), MOD(CurrentMonth, 12) + 1, 1))</f>
        <v>0</v>
      </c>
      <c r="G3" s="67">
        <f t="shared" ref="G3:G12" si="0">D3+E3+F3</f>
        <v>228.5</v>
      </c>
      <c r="I3" s="65" t="s">
        <v>30</v>
      </c>
      <c r="J3" s="67" cm="1">
        <f t="array" ref="J3">INDEX(Rollovers[BOM], MATCH(1, (Rollovers[Month]=CurrentMonth)*(Rollovers[Year]=CurrentYear)*(Rollovers[Expense]=I3), 0))</f>
        <v>9.0000000000003397E-2</v>
      </c>
      <c r="K3" s="67">
        <f>_xlfn.LET(
  _xlpm.CurrDate,    DATE(CurrentYear,CurrentMonth,1),
  _xlpm.Result,      SUMIFS(
                 BudgetHistory[Amount],
                 BudgetHistory[Expense],   I3,
                 BudgetHistory[StartDate], "&lt;=" &amp; _xlpm.CurrDate,
                 BudgetHistory[EndDate],   "&gt;=" &amp; _xlpm.CurrDate
               ),
  IF(_xlpm.Result = 0, INDEX(ExpenseBudgets, MATCH(I3, Expenses!$A:$A, 0)), _xlpm.Result)
)</f>
        <v>214.82</v>
      </c>
      <c r="L3" s="67" cm="1">
        <f t="array" ref="L3">SUMIFS(TransactionsAmount, TransactionExpenseType, I3, TransactionDates, "&gt;=" &amp; DATE(CurrentYear, CurrentMonth, 1), TransactionDates, "&lt;" &amp; DATE(CurrentYear + IF(CurrentMonth=12, 1, 0), MOD(CurrentMonth, 12) + 1, 1))</f>
        <v>-214.82</v>
      </c>
      <c r="M3" s="67">
        <f t="shared" ref="M3" si="1">J3+K3+L3</f>
        <v>9.0000000000003411E-2</v>
      </c>
      <c r="O3" s="65" t="s">
        <v>31</v>
      </c>
      <c r="P3" s="67" cm="1">
        <f t="array" ref="P3">INDEX(Rollovers[BOM], MATCH(1, (Rollovers[Month]=CurrentMonth)*(Rollovers[Year]=CurrentYear)*(Rollovers[Expense]=O3), 0))</f>
        <v>865.98</v>
      </c>
      <c r="Q3" s="67">
        <f>_xlfn.LET(
  _xlpm.CurrDate,    DATE(CurrentYear,CurrentMonth,1),
  _xlpm.Result,      SUMIFS(
                 BudgetHistory[Amount],
                 BudgetHistory[Expense],   O3,
                 BudgetHistory[StartDate], "&lt;=" &amp; _xlpm.CurrDate,
                 BudgetHistory[EndDate],   "&gt;=" &amp; _xlpm.CurrDate
               ),
  IF(_xlpm.Result = 0, INDEX(ExpenseBudgets, MATCH(O3, Expenses!$A:$A, 0)), _xlpm.Result)
)</f>
        <v>200</v>
      </c>
      <c r="R3" s="67" cm="1">
        <f t="array" ref="R3">SUMIFS(TransactionsAmount, TransactionExpenseType, O3, TransactionDates, "&gt;=" &amp; DATE(CurrentYear, CurrentMonth, 1), TransactionDates, "&lt;" &amp; DATE(CurrentYear + IF(CurrentMonth=12, 1, 0), MOD(CurrentMonth, 12) + 1, 1))</f>
        <v>0</v>
      </c>
      <c r="S3" s="67">
        <f t="shared" ref="S3:S13" si="2">P3+Q3+R3</f>
        <v>1065.98</v>
      </c>
    </row>
    <row r="4" spans="1:21" ht="24.75" customHeight="1" thickBot="1">
      <c r="C4" s="65" t="s">
        <v>32</v>
      </c>
      <c r="D4" s="67" cm="1">
        <f t="array" ref="D4">INDEX(Rollovers[BOM], MATCH(1, (Rollovers[Month]=CurrentMonth)*(Rollovers[Year]=CurrentYear)*(Rollovers[Expense]=C4), 0))</f>
        <v>-381.07</v>
      </c>
      <c r="E4" s="67">
        <f>_xlfn.LET(
  _xlpm.CurrDate,    DATE(CurrentYear,CurrentMonth,1),
  _xlpm.Result,      SUMIFS(
                 BudgetHistory[Amount],
                 BudgetHistory[Expense],   C4,
                 BudgetHistory[StartDate], "&lt;=" &amp; _xlpm.CurrDate,
                 BudgetHistory[EndDate],   "&gt;=" &amp; _xlpm.CurrDate
               ),
  IF(_xlpm.Result = 0, INDEX(ExpenseBudgets, MATCH(C4, Expenses!$A:$A, 0)), _xlpm.Result)
)</f>
        <v>300</v>
      </c>
      <c r="F4" s="67" cm="1">
        <f t="array" ref="F4">SUMIFS(TransactionsAmount, TransactionExpenseType, C4, TransactionDates, "&gt;=" &amp; DATE(CurrentYear, CurrentMonth, 1), TransactionDates, "&lt;" &amp; DATE(CurrentYear + IF(CurrentMonth=12, 1, 0), MOD(CurrentMonth, 12) + 1, 1))</f>
        <v>-86.72</v>
      </c>
      <c r="G4" s="67">
        <f t="shared" si="0"/>
        <v>-167.79</v>
      </c>
      <c r="I4" s="65" t="s">
        <v>33</v>
      </c>
      <c r="J4" s="67" cm="1">
        <f t="array" ref="J4">INDEX(Rollovers[BOM], MATCH(1, (Rollovers[Month]=CurrentMonth)*(Rollovers[Year]=CurrentYear)*(Rollovers[Expense]=I4), 0))</f>
        <v>75.160000000000096</v>
      </c>
      <c r="K4" s="67">
        <f>_xlfn.LET(
  _xlpm.CurrDate,    DATE(CurrentYear,CurrentMonth,1),
  _xlpm.Result,      SUMIFS(
                 BudgetHistory[Amount],
                 BudgetHistory[Expense],   I4,
                 BudgetHistory[StartDate], "&lt;=" &amp; _xlpm.CurrDate,
                 BudgetHistory[EndDate],   "&gt;=" &amp; _xlpm.CurrDate
               ),
  IF(_xlpm.Result = 0, INDEX(ExpenseBudgets, MATCH(I4, Expenses!$A:$A, 0)), _xlpm.Result)
)</f>
        <v>960.375</v>
      </c>
      <c r="L4" s="67" cm="1">
        <f t="array" ref="L4">SUMIFS(TransactionsAmount, TransactionExpenseType, I4, TransactionDates, "&gt;=" &amp; DATE(CurrentYear, CurrentMonth, 1), TransactionDates, "&lt;" &amp; DATE(CurrentYear + IF(CurrentMonth=12, 1, 0), MOD(CurrentMonth, 12) + 1, 1))</f>
        <v>-886.5</v>
      </c>
      <c r="M4" s="67">
        <f t="shared" ref="M4:M14" si="3">J4+K4+L4</f>
        <v>149.03500000000008</v>
      </c>
      <c r="O4" s="65" t="s">
        <v>34</v>
      </c>
      <c r="P4" s="67" cm="1">
        <f t="array" ref="P4">INDEX(Rollovers[BOM], MATCH(1, (Rollovers[Month]=CurrentMonth)*(Rollovers[Year]=CurrentYear)*(Rollovers[Expense]=O4), 0))</f>
        <v>-27.91</v>
      </c>
      <c r="Q4" s="67">
        <f>_xlfn.LET(
  _xlpm.CurrDate,    DATE(CurrentYear,CurrentMonth,1),
  _xlpm.Result,      SUMIFS(
                 BudgetHistory[Amount],
                 BudgetHistory[Expense],   O4,
                 BudgetHistory[StartDate], "&lt;=" &amp; _xlpm.CurrDate,
                 BudgetHistory[EndDate],   "&gt;=" &amp; _xlpm.CurrDate
               ),
  IF(_xlpm.Result = 0, INDEX(ExpenseBudgets, MATCH(O4, Expenses!$A:$A, 0)), _xlpm.Result)
)</f>
        <v>140</v>
      </c>
      <c r="R4" s="67" cm="1">
        <f t="array" ref="R4">SUMIFS(TransactionsAmount, TransactionExpenseType, O4, TransactionDates, "&gt;=" &amp; DATE(CurrentYear, CurrentMonth, 1), TransactionDates, "&lt;" &amp; DATE(CurrentYear + IF(CurrentMonth=12, 1, 0), MOD(CurrentMonth, 12) + 1, 1))</f>
        <v>-71.150000000000006</v>
      </c>
      <c r="S4" s="67">
        <f t="shared" si="2"/>
        <v>40.94</v>
      </c>
    </row>
    <row r="5" spans="1:21" ht="24.75" customHeight="1" thickBot="1">
      <c r="C5" s="65" t="s">
        <v>35</v>
      </c>
      <c r="D5" s="67" cm="1">
        <f t="array" ref="D5">INDEX(Rollovers[BOM], MATCH(1, (Rollovers[Month]=CurrentMonth)*(Rollovers[Year]=CurrentYear)*(Rollovers[Expense]=C5), 0))</f>
        <v>0</v>
      </c>
      <c r="E5" s="67">
        <f>_xlfn.LET(
  _xlpm.CurrDate,    DATE(CurrentYear,CurrentMonth,1),
  _xlpm.Result,      SUMIFS(
                 BudgetHistory[Amount],
                 BudgetHistory[Expense],   C5,
                 BudgetHistory[StartDate], "&lt;=" &amp; _xlpm.CurrDate,
                 BudgetHistory[EndDate],   "&gt;=" &amp; _xlpm.CurrDate
               ),
  IF(_xlpm.Result = 0, INDEX(ExpenseBudgets, MATCH(C5, Expenses!$A:$A, 0)), _xlpm.Result)
)</f>
        <v>88.14</v>
      </c>
      <c r="F5" s="67" cm="1">
        <f t="array" ref="F5">SUMIFS(TransactionsAmount, TransactionExpenseType, C5, TransactionDates, "&gt;=" &amp; DATE(CurrentYear, CurrentMonth, 1), TransactionDates, "&lt;" &amp; DATE(CurrentYear + IF(CurrentMonth=12, 1, 0), MOD(CurrentMonth, 12) + 1, 1))</f>
        <v>-88.14</v>
      </c>
      <c r="G5" s="67">
        <f t="shared" si="0"/>
        <v>0</v>
      </c>
      <c r="I5" s="65" t="s">
        <v>36</v>
      </c>
      <c r="J5" s="67" cm="1">
        <f t="array" ref="J5">INDEX(Rollovers[BOM], MATCH(1, (Rollovers[Month]=CurrentMonth)*(Rollovers[Year]=CurrentYear)*(Rollovers[Expense]=I5), 0))</f>
        <v>53.12</v>
      </c>
      <c r="K5" s="67">
        <f>_xlfn.LET(
  _xlpm.CurrDate,    DATE(CurrentYear,CurrentMonth,1),
  _xlpm.Result,      SUMIFS(
                 BudgetHistory[Amount],
                 BudgetHistory[Expense],   I5,
                 BudgetHistory[StartDate], "&lt;=" &amp; _xlpm.CurrDate,
                 BudgetHistory[EndDate],   "&gt;=" &amp; _xlpm.CurrDate
               ),
  IF(_xlpm.Result = 0, INDEX(ExpenseBudgets, MATCH(I5, Expenses!$A:$A, 0)), _xlpm.Result)
)</f>
        <v>85</v>
      </c>
      <c r="L5" s="67" cm="1">
        <f t="array" ref="L5">SUMIFS(TransactionsAmount, TransactionExpenseType, I5, TransactionDates, "&gt;=" &amp; DATE(CurrentYear, CurrentMonth, 1), TransactionDates, "&lt;" &amp; DATE(CurrentYear + IF(CurrentMonth=12, 1, 0), MOD(CurrentMonth, 12) + 1, 1))</f>
        <v>-66.64</v>
      </c>
      <c r="M5" s="67">
        <f t="shared" si="3"/>
        <v>71.48</v>
      </c>
      <c r="O5" s="65" t="s">
        <v>37</v>
      </c>
      <c r="P5" s="67" cm="1">
        <f t="array" ref="P5">INDEX(Rollovers[BOM], MATCH(1, (Rollovers[Month]=CurrentMonth)*(Rollovers[Year]=CurrentYear)*(Rollovers[Expense]=O5), 0))</f>
        <v>-290.42</v>
      </c>
      <c r="Q5" s="67">
        <f>_xlfn.LET(
  _xlpm.CurrDate,    DATE(CurrentYear,CurrentMonth,1),
  _xlpm.Result,      SUMIFS(
                 BudgetHistory[Amount],
                 BudgetHistory[Expense],   O5,
                 BudgetHistory[StartDate], "&lt;=" &amp; _xlpm.CurrDate,
                 BudgetHistory[EndDate],   "&gt;=" &amp; _xlpm.CurrDate
               ),
  IF(_xlpm.Result = 0, INDEX(ExpenseBudgets, MATCH(O5, Expenses!$A:$A, 0)), _xlpm.Result)
)</f>
        <v>150</v>
      </c>
      <c r="R5" s="67" cm="1">
        <f t="array" ref="R5">SUMIFS(TransactionsAmount, TransactionExpenseType, O5, TransactionDates, "&gt;=" &amp; DATE(CurrentYear, CurrentMonth, 1), TransactionDates, "&lt;" &amp; DATE(CurrentYear + IF(CurrentMonth=12, 1, 0), MOD(CurrentMonth, 12) + 1, 1))</f>
        <v>0</v>
      </c>
      <c r="S5" s="67">
        <f t="shared" ref="S5" si="4">P5+Q5+R5</f>
        <v>-140.42000000000002</v>
      </c>
      <c r="T5" t="s">
        <v>38</v>
      </c>
    </row>
    <row r="6" spans="1:21" ht="24.75" customHeight="1" thickBot="1">
      <c r="C6" s="65" t="s">
        <v>39</v>
      </c>
      <c r="D6" s="67" cm="1">
        <f t="array" ref="D6">INDEX(Rollovers[BOM], MATCH(1, (Rollovers[Month]=CurrentMonth)*(Rollovers[Year]=CurrentYear)*(Rollovers[Expense]=C6), 0))</f>
        <v>-15.48</v>
      </c>
      <c r="E6" s="67">
        <f>_xlfn.LET(
  _xlpm.CurrDate,    DATE(CurrentYear,CurrentMonth,1),
  _xlpm.Result,      SUMIFS(
                 BudgetHistory[Amount],
                 BudgetHistory[Expense],   C6,
                 BudgetHistory[StartDate], "&lt;=" &amp; _xlpm.CurrDate,
                 BudgetHistory[EndDate],   "&gt;=" &amp; _xlpm.CurrDate
               ),
  IF(_xlpm.Result = 0, INDEX(ExpenseBudgets, MATCH(C6, Expenses!$A:$A, 0)), _xlpm.Result)
)</f>
        <v>104.62</v>
      </c>
      <c r="F6" s="67" cm="1">
        <f t="array" ref="F6">SUMIFS(TransactionsAmount, TransactionExpenseType, C6, TransactionDates, "&gt;=" &amp; DATE(CurrentYear, CurrentMonth, 1), TransactionDates, "&lt;" &amp; DATE(CurrentYear + IF(CurrentMonth=12, 1, 0), MOD(CurrentMonth, 12) + 1, 1))</f>
        <v>-125.43</v>
      </c>
      <c r="G6" s="67">
        <f t="shared" si="0"/>
        <v>-36.290000000000006</v>
      </c>
      <c r="I6" s="65" t="s">
        <v>40</v>
      </c>
      <c r="J6" s="67" cm="1">
        <f t="array" ref="J6">INDEX(Rollovers[BOM], MATCH(1, (Rollovers[Month]=CurrentMonth)*(Rollovers[Year]=CurrentYear)*(Rollovers[Expense]=I6), 0))</f>
        <v>0</v>
      </c>
      <c r="K6" s="67">
        <f>_xlfn.LET(
  _xlpm.CurrDate,    DATE(CurrentYear,CurrentMonth,1),
  _xlpm.Result,      SUMIFS(
                 BudgetHistory[Amount],
                 BudgetHistory[Expense],   I6,
                 BudgetHistory[StartDate], "&lt;=" &amp; _xlpm.CurrDate,
                 BudgetHistory[EndDate],   "&gt;=" &amp; _xlpm.CurrDate
               ),
  IF(_xlpm.Result = 0, INDEX(ExpenseBudgets, MATCH(I6, Expenses!$A:$A, 0)), _xlpm.Result)
)</f>
        <v>400</v>
      </c>
      <c r="L6" s="67" cm="1">
        <f t="array" ref="L6">SUMIFS(TransactionsAmount, TransactionExpenseType, I6, TransactionDates, "&gt;=" &amp; DATE(CurrentYear, CurrentMonth, 1), TransactionDates, "&lt;" &amp; DATE(CurrentYear + IF(CurrentMonth=12, 1, 0), MOD(CurrentMonth, 12) + 1, 1))</f>
        <v>-400</v>
      </c>
      <c r="M6" s="67">
        <f t="shared" si="3"/>
        <v>0</v>
      </c>
      <c r="O6" s="65" t="s">
        <v>41</v>
      </c>
      <c r="P6" s="67" cm="1">
        <f t="array" ref="P6">INDEX(Rollovers[BOM], MATCH(1, (Rollovers[Month]=CurrentMonth)*(Rollovers[Year]=CurrentYear)*(Rollovers[Expense]=O6), 0))</f>
        <v>75.44</v>
      </c>
      <c r="Q6" s="67">
        <f>_xlfn.LET(
  _xlpm.CurrDate,    DATE(CurrentYear,CurrentMonth,1),
  _xlpm.Result,      SUMIFS(
                 BudgetHistory[Amount],
                 BudgetHistory[Expense],   O6,
                 BudgetHistory[StartDate], "&lt;=" &amp; _xlpm.CurrDate,
                 BudgetHistory[EndDate],   "&gt;=" &amp; _xlpm.CurrDate
               ),
  IF(_xlpm.Result = 0, INDEX(ExpenseBudgets, MATCH(O6, Expenses!$A:$A, 0)), _xlpm.Result)
)</f>
        <v>50</v>
      </c>
      <c r="R6" s="67" cm="1">
        <f t="array" ref="R6">SUMIFS(TransactionsAmount, TransactionExpenseType, O6, TransactionDates, "&gt;=" &amp; DATE(CurrentYear, CurrentMonth, 1), TransactionDates, "&lt;" &amp; DATE(CurrentYear + IF(CurrentMonth=12, 1, 0), MOD(CurrentMonth, 12) + 1, 1))</f>
        <v>-107.26</v>
      </c>
      <c r="S6" s="67">
        <f t="shared" si="2"/>
        <v>18.179999999999993</v>
      </c>
    </row>
    <row r="7" spans="1:21" ht="24.75" customHeight="1" thickBot="1">
      <c r="C7" s="65" t="s">
        <v>42</v>
      </c>
      <c r="D7" s="67" cm="1">
        <f t="array" ref="D7">INDEX(Rollovers[BOM], MATCH(1, (Rollovers[Month]=CurrentMonth)*(Rollovers[Year]=CurrentYear)*(Rollovers[Expense]=C7), 0))</f>
        <v>232.74</v>
      </c>
      <c r="E7" s="67">
        <f>_xlfn.LET(
  _xlpm.CurrDate,    DATE(CurrentYear,CurrentMonth,1),
  _xlpm.Result,      SUMIFS(
                 BudgetHistory[Amount],
                 BudgetHistory[Expense],   C7,
                 BudgetHistory[StartDate], "&lt;=" &amp; _xlpm.CurrDate,
                 BudgetHistory[EndDate],   "&gt;=" &amp; _xlpm.CurrDate
               ),
  IF(_xlpm.Result = 0, INDEX(ExpenseBudgets, MATCH(C7, Expenses!$A:$A, 0)), _xlpm.Result)
)</f>
        <v>8.66</v>
      </c>
      <c r="F7" s="67" cm="1">
        <f t="array" ref="F7">SUMIFS(TransactionsAmount, TransactionExpenseType, C7, TransactionDates, "&gt;=" &amp; DATE(CurrentYear, CurrentMonth, 1), TransactionDates, "&lt;" &amp; DATE(CurrentYear + IF(CurrentMonth=12, 1, 0), MOD(CurrentMonth, 12) + 1, 1))</f>
        <v>-25.98</v>
      </c>
      <c r="G7" s="67">
        <f t="shared" si="0"/>
        <v>215.42000000000002</v>
      </c>
      <c r="I7" s="65" t="s">
        <v>43</v>
      </c>
      <c r="J7" s="67" cm="1">
        <f t="array" ref="J7">INDEX(Rollovers[BOM], MATCH(1, (Rollovers[Month]=CurrentMonth)*(Rollovers[Year]=CurrentYear)*(Rollovers[Expense]=I7), 0))</f>
        <v>-25.26</v>
      </c>
      <c r="K7" s="67">
        <f>_xlfn.LET(
  _xlpm.CurrDate,    DATE(CurrentYear,CurrentMonth,1),
  _xlpm.Result,      SUMIFS(
                 BudgetHistory[Amount],
                 BudgetHistory[Expense],   I7,
                 BudgetHistory[StartDate], "&lt;=" &amp; _xlpm.CurrDate,
                 BudgetHistory[EndDate],   "&gt;=" &amp; _xlpm.CurrDate
               ),
  IF(_xlpm.Result = 0, INDEX(ExpenseBudgets, MATCH(I7, Expenses!$A:$A, 0)), _xlpm.Result)
)</f>
        <v>49.294999999999995</v>
      </c>
      <c r="L7" s="67" cm="1">
        <f t="array" ref="L7">SUMIFS(TransactionsAmount, TransactionExpenseType, I7, TransactionDates, "&gt;=" &amp; DATE(CurrentYear, CurrentMonth, 1), TransactionDates, "&lt;" &amp; DATE(CurrentYear + IF(CurrentMonth=12, 1, 0), MOD(CurrentMonth, 12) + 1, 1))</f>
        <v>-18.059999999999999</v>
      </c>
      <c r="M7" s="67">
        <f t="shared" si="3"/>
        <v>5.9749999999999943</v>
      </c>
      <c r="O7" s="65" t="s">
        <v>44</v>
      </c>
      <c r="P7" s="67" cm="1">
        <f t="array" ref="P7">INDEX(Rollovers[BOM], MATCH(1, (Rollovers[Month]=CurrentMonth)*(Rollovers[Year]=CurrentYear)*(Rollovers[Expense]=O7), 0))</f>
        <v>477.04</v>
      </c>
      <c r="Q7" s="67">
        <f>_xlfn.LET(
  _xlpm.CurrDate,    DATE(CurrentYear,CurrentMonth,1),
  _xlpm.Result,      SUMIFS(
                 BudgetHistory[Amount],
                 BudgetHistory[Expense],   O7,
                 BudgetHistory[StartDate], "&lt;=" &amp; _xlpm.CurrDate,
                 BudgetHistory[EndDate],   "&gt;=" &amp; _xlpm.CurrDate
               ),
  IF(_xlpm.Result = 0, INDEX(ExpenseBudgets, MATCH(O7, Expenses!$A:$A, 0)), _xlpm.Result)
)</f>
        <v>140</v>
      </c>
      <c r="R7" s="67" cm="1">
        <f t="array" ref="R7">SUMIFS(TransactionsAmount, TransactionExpenseType, O7, TransactionDates, "&gt;=" &amp; DATE(CurrentYear, CurrentMonth, 1), TransactionDates, "&lt;" &amp; DATE(CurrentYear + IF(CurrentMonth=12, 1, 0), MOD(CurrentMonth, 12) + 1, 1))</f>
        <v>-67.73</v>
      </c>
      <c r="S7" s="67">
        <f t="shared" si="2"/>
        <v>549.30999999999995</v>
      </c>
    </row>
    <row r="8" spans="1:21" ht="24.75" customHeight="1" thickBot="1">
      <c r="C8" s="65" t="s">
        <v>45</v>
      </c>
      <c r="D8" s="67" cm="1">
        <f t="array" ref="D8">INDEX(Rollovers[BOM], MATCH(1, (Rollovers[Month]=CurrentMonth)*(Rollovers[Year]=CurrentYear)*(Rollovers[Expense]=C8), 0))</f>
        <v>17.079999999999998</v>
      </c>
      <c r="E8" s="67">
        <f>_xlfn.LET(
  _xlpm.CurrDate,    DATE(CurrentYear,CurrentMonth,1),
  _xlpm.Result,      SUMIFS(
                 BudgetHistory[Amount],
                 BudgetHistory[Expense],   C8,
                 BudgetHistory[StartDate], "&lt;=" &amp; _xlpm.CurrDate,
                 BudgetHistory[EndDate],   "&gt;=" &amp; _xlpm.CurrDate
               ),
  IF(_xlpm.Result = 0, INDEX(ExpenseBudgets, MATCH(C8, Expenses!$A:$A, 0)), _xlpm.Result)
)</f>
        <v>65</v>
      </c>
      <c r="F8" s="67" cm="1">
        <f t="array" ref="F8">SUMIFS(TransactionsAmount, TransactionExpenseType, C8, TransactionDates, "&gt;=" &amp; DATE(CurrentYear, CurrentMonth, 1), TransactionDates, "&lt;" &amp; DATE(CurrentYear + IF(CurrentMonth=12, 1, 0), MOD(CurrentMonth, 12) + 1, 1))</f>
        <v>-33.89</v>
      </c>
      <c r="G8" s="67">
        <f t="shared" si="0"/>
        <v>48.19</v>
      </c>
      <c r="I8" s="65" t="s">
        <v>46</v>
      </c>
      <c r="J8" s="67" cm="1">
        <f t="array" ref="J8">INDEX(Rollovers[BOM], MATCH(1, (Rollovers[Month]=CurrentMonth)*(Rollovers[Year]=CurrentYear)*(Rollovers[Expense]=I8), 0))</f>
        <v>0</v>
      </c>
      <c r="K8" s="67">
        <f>_xlfn.LET(
  _xlpm.CurrDate,    DATE(CurrentYear,CurrentMonth,1),
  _xlpm.Result,      SUMIFS(
                 BudgetHistory[Amount],
                 BudgetHistory[Expense],   I8,
                 BudgetHistory[StartDate], "&lt;=" &amp; _xlpm.CurrDate,
                 BudgetHistory[EndDate],   "&gt;=" &amp; _xlpm.CurrDate
               ),
  IF(_xlpm.Result = 0, INDEX(ExpenseBudgets, MATCH(I8, Expenses!$A:$A, 0)), _xlpm.Result)
)</f>
        <v>20</v>
      </c>
      <c r="L8" s="67" cm="1">
        <f t="array" ref="L8">SUMIFS(TransactionsAmount, TransactionExpenseType, I8, TransactionDates, "&gt;=" &amp; DATE(CurrentYear, CurrentMonth, 1), TransactionDates, "&lt;" &amp; DATE(CurrentYear + IF(CurrentMonth=12, 1, 0), MOD(CurrentMonth, 12) + 1, 1))</f>
        <v>-20</v>
      </c>
      <c r="M8" s="67">
        <f t="shared" si="3"/>
        <v>0</v>
      </c>
      <c r="O8" s="65" t="s">
        <v>47</v>
      </c>
      <c r="P8" s="67" cm="1">
        <f t="array" ref="P8">INDEX(Rollovers[BOM], MATCH(1, (Rollovers[Month]=CurrentMonth)*(Rollovers[Year]=CurrentYear)*(Rollovers[Expense]=O8), 0))</f>
        <v>-251.07</v>
      </c>
      <c r="Q8" s="67">
        <f>_xlfn.LET(
  _xlpm.CurrDate,    DATE(CurrentYear,CurrentMonth,1),
  _xlpm.Result,      SUMIFS(
                 BudgetHistory[Amount],
                 BudgetHistory[Expense],   O8,
                 BudgetHistory[StartDate], "&lt;=" &amp; _xlpm.CurrDate,
                 BudgetHistory[EndDate],   "&gt;=" &amp; _xlpm.CurrDate
               ),
  IF(_xlpm.Result = 0, INDEX(ExpenseBudgets, MATCH(O8, Expenses!$A:$A, 0)), _xlpm.Result)
)</f>
        <v>200</v>
      </c>
      <c r="R8" s="67" cm="1">
        <f t="array" ref="R8">SUMIFS(TransactionsAmount, TransactionExpenseType, O8, TransactionDates, "&gt;=" &amp; DATE(CurrentYear, CurrentMonth, 1), TransactionDates, "&lt;" &amp; DATE(CurrentYear + IF(CurrentMonth=12, 1, 0), MOD(CurrentMonth, 12) + 1, 1))</f>
        <v>-84.16</v>
      </c>
      <c r="S8" s="67">
        <f t="shared" si="2"/>
        <v>-135.22999999999999</v>
      </c>
    </row>
    <row r="9" spans="1:21" ht="24.75" customHeight="1" thickBot="1">
      <c r="C9" s="65" t="s">
        <v>48</v>
      </c>
      <c r="D9" s="67" cm="1">
        <f t="array" ref="D9">INDEX(Rollovers[BOM], MATCH(1, (Rollovers[Month]=CurrentMonth)*(Rollovers[Year]=CurrentYear)*(Rollovers[Expense]=C9), 0))</f>
        <v>24.81</v>
      </c>
      <c r="E9" s="67">
        <f>_xlfn.LET(
  _xlpm.CurrDate,    DATE(CurrentYear,CurrentMonth,1),
  _xlpm.Result,      SUMIFS(
                 BudgetHistory[Amount],
                 BudgetHistory[Expense],   C9,
                 BudgetHistory[StartDate], "&lt;=" &amp; _xlpm.CurrDate,
                 BudgetHistory[EndDate],   "&gt;=" &amp; _xlpm.CurrDate
               ),
  IF(_xlpm.Result = 0, INDEX(ExpenseBudgets, MATCH(C9, Expenses!$A:$A, 0)), _xlpm.Result)
)</f>
        <v>10</v>
      </c>
      <c r="F9" s="67" cm="1">
        <f t="array" ref="F9">SUMIFS(TransactionsAmount, TransactionExpenseType, C9, TransactionDates, "&gt;=" &amp; DATE(CurrentYear, CurrentMonth, 1), TransactionDates, "&lt;" &amp; DATE(CurrentYear + IF(CurrentMonth=12, 1, 0), MOD(CurrentMonth, 12) + 1, 1))</f>
        <v>-8.9</v>
      </c>
      <c r="G9" s="67">
        <f t="shared" si="0"/>
        <v>25.910000000000004</v>
      </c>
      <c r="I9" s="65" t="s">
        <v>49</v>
      </c>
      <c r="J9" s="67" cm="1">
        <f t="array" ref="J9">INDEX(Rollovers[BOM], MATCH(1, (Rollovers[Month]=CurrentMonth)*(Rollovers[Year]=CurrentYear)*(Rollovers[Expense]=I9), 0))</f>
        <v>0</v>
      </c>
      <c r="K9" s="67">
        <f>_xlfn.LET(
  _xlpm.CurrDate,    DATE(CurrentYear,CurrentMonth,1),
  _xlpm.Result,      SUMIFS(
                 BudgetHistory[Amount],
                 BudgetHistory[Expense],   I9,
                 BudgetHistory[StartDate], "&lt;=" &amp; _xlpm.CurrDate,
                 BudgetHistory[EndDate],   "&gt;=" &amp; _xlpm.CurrDate
               ),
  IF(_xlpm.Result = 0, INDEX(ExpenseBudgets, MATCH(I9, Expenses!$A:$A, 0)), _xlpm.Result)
)</f>
        <v>150</v>
      </c>
      <c r="L9" s="67" cm="1">
        <f t="array" ref="L9">SUMIFS(TransactionsAmount, TransactionExpenseType, I9, TransactionDates, "&gt;=" &amp; DATE(CurrentYear, CurrentMonth, 1), TransactionDates, "&lt;" &amp; DATE(CurrentYear + IF(CurrentMonth=12, 1, 0), MOD(CurrentMonth, 12) + 1, 1))</f>
        <v>-150</v>
      </c>
      <c r="M9" s="67">
        <f t="shared" si="3"/>
        <v>0</v>
      </c>
      <c r="O9" s="65" t="s">
        <v>50</v>
      </c>
      <c r="P9" s="67" cm="1">
        <f t="array" ref="P9">INDEX(Rollovers[BOM], MATCH(1, (Rollovers[Month]=CurrentMonth)*(Rollovers[Year]=CurrentYear)*(Rollovers[Expense]=O9), 0))</f>
        <v>58.62</v>
      </c>
      <c r="Q9" s="67">
        <f>_xlfn.LET(
  _xlpm.CurrDate,    DATE(CurrentYear,CurrentMonth,1),
  _xlpm.Result,      SUMIFS(
                 BudgetHistory[Amount],
                 BudgetHistory[Expense],   O9,
                 BudgetHistory[StartDate], "&lt;=" &amp; _xlpm.CurrDate,
                 BudgetHistory[EndDate],   "&gt;=" &amp; _xlpm.CurrDate
               ),
  IF(_xlpm.Result = 0, INDEX(ExpenseBudgets, MATCH(O9, Expenses!$A:$A, 0)), _xlpm.Result)
)</f>
        <v>130</v>
      </c>
      <c r="R9" s="67" cm="1">
        <f t="array" ref="R9">SUMIFS(TransactionsAmount, TransactionExpenseType, O9, TransactionDates, "&gt;=" &amp; DATE(CurrentYear, CurrentMonth, 1), TransactionDates, "&lt;" &amp; DATE(CurrentYear + IF(CurrentMonth=12, 1, 0), MOD(CurrentMonth, 12) + 1, 1))</f>
        <v>-283.10000000000002</v>
      </c>
      <c r="S9" s="67">
        <f t="shared" si="2"/>
        <v>-94.480000000000018</v>
      </c>
    </row>
    <row r="10" spans="1:21" ht="24.75" customHeight="1" thickBot="1">
      <c r="C10" s="65" t="s">
        <v>51</v>
      </c>
      <c r="D10" s="67" cm="1">
        <f t="array" ref="D10">INDEX(Rollovers[BOM], MATCH(1, (Rollovers[Month]=CurrentMonth)*(Rollovers[Year]=CurrentYear)*(Rollovers[Expense]=C10), 0))</f>
        <v>0</v>
      </c>
      <c r="E10" s="67">
        <f>_xlfn.LET(
  _xlpm.CurrDate,    DATE(CurrentYear,CurrentMonth,1),
  _xlpm.Result,      SUMIFS(
                 BudgetHistory[Amount],
                 BudgetHistory[Expense],   C10,
                 BudgetHistory[StartDate], "&lt;=" &amp; _xlpm.CurrDate,
                 BudgetHistory[EndDate],   "&gt;=" &amp; _xlpm.CurrDate
               ),
  IF(_xlpm.Result = 0, INDEX(ExpenseBudgets, MATCH(C10, Expenses!$A:$A, 0)), _xlpm.Result)
)</f>
        <v>251.44</v>
      </c>
      <c r="F10" s="67" cm="1">
        <f t="array" ref="F10">SUMIFS(TransactionsAmount, TransactionExpenseType, C10, TransactionDates, "&gt;=" &amp; DATE(CurrentYear, CurrentMonth, 1), TransactionDates, "&lt;" &amp; DATE(CurrentYear + IF(CurrentMonth=12, 1, 0), MOD(CurrentMonth, 12) + 1, 1))</f>
        <v>-251.44</v>
      </c>
      <c r="G10" s="67">
        <f t="shared" si="0"/>
        <v>0</v>
      </c>
      <c r="I10" s="65" t="s">
        <v>52</v>
      </c>
      <c r="J10" s="67" cm="1">
        <f t="array" ref="J10">INDEX(Rollovers[BOM], MATCH(1, (Rollovers[Month]=CurrentMonth)*(Rollovers[Year]=CurrentYear)*(Rollovers[Expense]=I10), 0))</f>
        <v>-61.28</v>
      </c>
      <c r="K10" s="67">
        <f>_xlfn.LET(
  _xlpm.CurrDate,    DATE(CurrentYear,CurrentMonth,1),
  _xlpm.Result,      SUMIFS(
                 BudgetHistory[Amount],
                 BudgetHistory[Expense],   I10,
                 BudgetHistory[StartDate], "&lt;=" &amp; _xlpm.CurrDate,
                 BudgetHistory[EndDate],   "&gt;=" &amp; _xlpm.CurrDate
               ),
  IF(_xlpm.Result = 0, INDEX(ExpenseBudgets, MATCH(I10, Expenses!$A:$A, 0)), _xlpm.Result)
)</f>
        <v>100</v>
      </c>
      <c r="L10" s="67" cm="1">
        <f t="array" ref="L10">SUMIFS(TransactionsAmount, TransactionExpenseType, I10, TransactionDates, "&gt;=" &amp; DATE(CurrentYear, CurrentMonth, 1), TransactionDates, "&lt;" &amp; DATE(CurrentYear + IF(CurrentMonth=12, 1, 0), MOD(CurrentMonth, 12) + 1, 1))</f>
        <v>-34.92</v>
      </c>
      <c r="M10" s="67">
        <f t="shared" si="3"/>
        <v>3.7999999999999972</v>
      </c>
      <c r="O10" s="65" t="s">
        <v>53</v>
      </c>
      <c r="P10" s="67" cm="1">
        <f t="array" ref="P10">INDEX(Rollovers[BOM], MATCH(1, (Rollovers[Month]=CurrentMonth)*(Rollovers[Year]=CurrentYear)*(Rollovers[Expense]=O10), 0))</f>
        <v>592.88</v>
      </c>
      <c r="Q10" s="67">
        <f>_xlfn.LET(
  _xlpm.CurrDate,    DATE(CurrentYear,CurrentMonth,1),
  _xlpm.Result,      SUMIFS(
                 BudgetHistory[Amount],
                 BudgetHistory[Expense],   O10,
                 BudgetHistory[StartDate], "&lt;=" &amp; _xlpm.CurrDate,
                 BudgetHistory[EndDate],   "&gt;=" &amp; _xlpm.CurrDate
               ),
  IF(_xlpm.Result = 0, INDEX(ExpenseBudgets, MATCH(O10, Expenses!$A:$A, 0)), _xlpm.Result)
)</f>
        <v>100</v>
      </c>
      <c r="R10" s="67" cm="1">
        <f t="array" ref="R10">SUMIFS(TransactionsAmount, TransactionExpenseType, O10, TransactionDates, "&gt;=" &amp; DATE(CurrentYear, CurrentMonth, 1), TransactionDates, "&lt;" &amp; DATE(CurrentYear + IF(CurrentMonth=12, 1, 0), MOD(CurrentMonth, 12) + 1, 1))</f>
        <v>0</v>
      </c>
      <c r="S10" s="67">
        <f t="shared" si="2"/>
        <v>692.88</v>
      </c>
    </row>
    <row r="11" spans="1:21" ht="24.75" customHeight="1" thickBot="1">
      <c r="C11" s="65" t="s">
        <v>54</v>
      </c>
      <c r="D11" s="67" cm="1">
        <f t="array" ref="D11">INDEX(Rollovers[BOM], MATCH(1, (Rollovers[Month]=CurrentMonth)*(Rollovers[Year]=CurrentYear)*(Rollovers[Expense]=C11), 0))</f>
        <v>50.35</v>
      </c>
      <c r="E11" s="67">
        <f>_xlfn.LET(
  _xlpm.CurrDate,    DATE(CurrentYear,CurrentMonth,1),
  _xlpm.Result,      SUMIFS(
                 BudgetHistory[Amount],
                 BudgetHistory[Expense],   C11,
                 BudgetHistory[StartDate], "&lt;=" &amp; _xlpm.CurrDate,
                 BudgetHistory[EndDate],   "&gt;=" &amp; _xlpm.CurrDate
               ),
  IF(_xlpm.Result = 0, INDEX(ExpenseBudgets, MATCH(C11, Expenses!$A:$A, 0)), _xlpm.Result)
)</f>
        <v>50</v>
      </c>
      <c r="F11" s="67" cm="1">
        <f t="array" ref="F11">SUMIFS(TransactionsAmount, TransactionExpenseType, C11, TransactionDates, "&gt;=" &amp; DATE(CurrentYear, CurrentMonth, 1), TransactionDates, "&lt;" &amp; DATE(CurrentYear + IF(CurrentMonth=12, 1, 0), MOD(CurrentMonth, 12) + 1, 1))</f>
        <v>-90.759999999999991</v>
      </c>
      <c r="G11" s="67">
        <f t="shared" si="0"/>
        <v>9.5900000000000034</v>
      </c>
      <c r="I11" s="65" t="s">
        <v>55</v>
      </c>
      <c r="J11" s="67" cm="1">
        <f t="array" ref="J11">INDEX(Rollovers[BOM], MATCH(1, (Rollovers[Month]=CurrentMonth)*(Rollovers[Year]=CurrentYear)*(Rollovers[Expense]=I11), 0))</f>
        <v>365.93</v>
      </c>
      <c r="K11" s="67">
        <f>_xlfn.LET(
  _xlpm.CurrDate,    DATE(CurrentYear,CurrentMonth,1),
  _xlpm.Result,      SUMIFS(
                 BudgetHistory[Amount],
                 BudgetHistory[Expense],   I11,
                 BudgetHistory[StartDate], "&lt;=" &amp; _xlpm.CurrDate,
                 BudgetHistory[EndDate],   "&gt;=" &amp; _xlpm.CurrDate
               ),
  IF(_xlpm.Result = 0, INDEX(ExpenseBudgets, MATCH(I11, Expenses!$A:$A, 0)), _xlpm.Result)
)</f>
        <v>150</v>
      </c>
      <c r="L11" s="67" cm="1">
        <f t="array" ref="L11">SUMIFS(TransactionsAmount, TransactionExpenseType, I11, TransactionDates, "&gt;=" &amp; DATE(CurrentYear, CurrentMonth, 1), TransactionDates, "&lt;" &amp; DATE(CurrentYear + IF(CurrentMonth=12, 1, 0), MOD(CurrentMonth, 12) + 1, 1))</f>
        <v>-326.61</v>
      </c>
      <c r="M11" s="67">
        <f t="shared" si="3"/>
        <v>189.32000000000005</v>
      </c>
      <c r="O11" s="65" t="s">
        <v>56</v>
      </c>
      <c r="P11" s="67" cm="1">
        <f t="array" ref="P11">INDEX(Rollovers[BOM], MATCH(1, (Rollovers[Month]=CurrentMonth)*(Rollovers[Year]=CurrentYear)*(Rollovers[Expense]=O11), 0))</f>
        <v>995.43</v>
      </c>
      <c r="Q11" s="67">
        <f>_xlfn.LET(
  _xlpm.CurrDate,    DATE(CurrentYear,CurrentMonth,1),
  _xlpm.Result,      SUMIFS(
                 BudgetHistory[Amount],
                 BudgetHistory[Expense],   O11,
                 BudgetHistory[StartDate], "&lt;=" &amp; _xlpm.CurrDate,
                 BudgetHistory[EndDate],   "&gt;=" &amp; _xlpm.CurrDate
               ),
  IF(_xlpm.Result = 0, INDEX(ExpenseBudgets, MATCH(O11, Expenses!$A:$A, 0)), _xlpm.Result)
)</f>
        <v>100</v>
      </c>
      <c r="R11" s="67" cm="1">
        <f t="array" ref="R11">SUMIFS(TransactionsAmount, TransactionExpenseType, O11, TransactionDates, "&gt;=" &amp; DATE(CurrentYear, CurrentMonth, 1), TransactionDates, "&lt;" &amp; DATE(CurrentYear + IF(CurrentMonth=12, 1, 0), MOD(CurrentMonth, 12) + 1, 1))</f>
        <v>0</v>
      </c>
      <c r="S11" s="67">
        <f t="shared" si="2"/>
        <v>1095.4299999999998</v>
      </c>
    </row>
    <row r="12" spans="1:21" ht="24.75" customHeight="1" thickBot="1">
      <c r="C12" s="65" t="s">
        <v>57</v>
      </c>
      <c r="D12" s="67" cm="1">
        <f t="array" ref="D12">INDEX(Rollovers[BOM], MATCH(1, (Rollovers[Month]=CurrentMonth)*(Rollovers[Year]=CurrentYear)*(Rollovers[Expense]=C12), 0))</f>
        <v>88.070000000000107</v>
      </c>
      <c r="E12" s="67">
        <f>_xlfn.LET(
  _xlpm.CurrDate,    DATE(CurrentYear,CurrentMonth,1),
  _xlpm.Result,      SUMIFS(
                 BudgetHistory[Amount],
                 BudgetHistory[Expense],   C12,
                 BudgetHistory[StartDate], "&lt;=" &amp; _xlpm.CurrDate,
                 BudgetHistory[EndDate],   "&gt;=" &amp; _xlpm.CurrDate
               ),
  IF(_xlpm.Result = 0, INDEX(ExpenseBudgets, MATCH(C12, Expenses!$A:$A, 0)), _xlpm.Result)
)</f>
        <v>600</v>
      </c>
      <c r="F12" s="67" cm="1">
        <f t="array" ref="F12">SUMIFS(TransactionsAmount, TransactionExpenseType, C12, TransactionDates, "&gt;=" &amp; DATE(CurrentYear, CurrentMonth, 1), TransactionDates, "&lt;" &amp; DATE(CurrentYear + IF(CurrentMonth=12, 1, 0), MOD(CurrentMonth, 12) + 1, 1))</f>
        <v>-435.1</v>
      </c>
      <c r="G12" s="67">
        <f t="shared" si="0"/>
        <v>252.97000000000014</v>
      </c>
      <c r="I12" s="65" t="s">
        <v>58</v>
      </c>
      <c r="J12" s="67" cm="1">
        <f t="array" ref="J12">INDEX(Rollovers[BOM], MATCH(1, (Rollovers[Month]=CurrentMonth)*(Rollovers[Year]=CurrentYear)*(Rollovers[Expense]=I12), 0))</f>
        <v>-116.79</v>
      </c>
      <c r="K12" s="67">
        <f>_xlfn.LET(
  _xlpm.CurrDate,    DATE(CurrentYear,CurrentMonth,1),
  _xlpm.Result,      SUMIFS(
                 BudgetHistory[Amount],
                 BudgetHistory[Expense],   I12,
                 BudgetHistory[StartDate], "&lt;=" &amp; _xlpm.CurrDate,
                 BudgetHistory[EndDate],   "&gt;=" &amp; _xlpm.CurrDate
               ),
  IF(_xlpm.Result = 0, INDEX(ExpenseBudgets, MATCH(I12, Expenses!$A:$A, 0)), _xlpm.Result)
)</f>
        <v>140</v>
      </c>
      <c r="L12" s="67" cm="1">
        <f t="array" ref="L12">SUMIFS(TransactionsAmount, TransactionExpenseType, I12, TransactionDates, "&gt;=" &amp; DATE(CurrentYear, CurrentMonth, 1), TransactionDates, "&lt;" &amp; DATE(CurrentYear + IF(CurrentMonth=12, 1, 0), MOD(CurrentMonth, 12) + 1, 1))</f>
        <v>-114.58000000000001</v>
      </c>
      <c r="M12" s="67">
        <f t="shared" si="3"/>
        <v>-91.370000000000019</v>
      </c>
      <c r="O12" s="65" t="s">
        <v>59</v>
      </c>
      <c r="P12" s="67" cm="1">
        <f t="array" ref="P12">INDEX(Rollovers[BOM], MATCH(1, (Rollovers[Month]=CurrentMonth)*(Rollovers[Year]=CurrentYear)*(Rollovers[Expense]=O12), 0))</f>
        <v>-84.17</v>
      </c>
      <c r="Q12" s="67">
        <f>_xlfn.LET(
  _xlpm.CurrDate,    DATE(CurrentYear,CurrentMonth,1),
  _xlpm.Result,      SUMIFS(
                 BudgetHistory[Amount],
                 BudgetHistory[Expense],   O12,
                 BudgetHistory[StartDate], "&lt;=" &amp; _xlpm.CurrDate,
                 BudgetHistory[EndDate],   "&gt;=" &amp; _xlpm.CurrDate
               ),
  IF(_xlpm.Result = 0, INDEX(ExpenseBudgets, MATCH(O12, Expenses!$A:$A, 0)), _xlpm.Result)
)</f>
        <v>150</v>
      </c>
      <c r="R12" s="67" cm="1">
        <f t="array" ref="R12">SUMIFS(TransactionsAmount, TransactionExpenseType, O12, TransactionDates, "&gt;=" &amp; DATE(CurrentYear, CurrentMonth, 1), TransactionDates, "&lt;" &amp; DATE(CurrentYear + IF(CurrentMonth=12, 1, 0), MOD(CurrentMonth, 12) + 1, 1))</f>
        <v>-16.66</v>
      </c>
      <c r="S12" s="67">
        <f>P12+Q12+R12</f>
        <v>49.17</v>
      </c>
    </row>
    <row r="13" spans="1:21" ht="24.75" customHeight="1" thickBot="1">
      <c r="C13" s="65" t="s">
        <v>60</v>
      </c>
      <c r="D13" s="67" cm="1">
        <f t="array" ref="D13">INDEX(Rollovers[BOM], MATCH(1, (Rollovers[Month]=CurrentMonth)*(Rollovers[Year]=CurrentYear)*(Rollovers[Expense]=C13), 0))</f>
        <v>194.26</v>
      </c>
      <c r="E13" s="67">
        <f>_xlfn.LET(
  _xlpm.CurrDate,    DATE(CurrentYear,CurrentMonth,1),
  _xlpm.Result,      SUMIFS(
                 BudgetHistory[Amount],
                 BudgetHistory[Expense],   C13,
                 BudgetHistory[StartDate], "&lt;=" &amp; _xlpm.CurrDate,
                 BudgetHistory[EndDate],   "&gt;=" &amp; _xlpm.CurrDate
               ),
  IF(_xlpm.Result = 0, INDEX(ExpenseBudgets, MATCH(C13, Expenses!$A:$A, 0)), _xlpm.Result)
)</f>
        <v>101</v>
      </c>
      <c r="F13" s="67" cm="1">
        <f t="array" ref="F13">SUMIFS(TransactionsAmount, TransactionExpenseType, C13, TransactionDates, "&gt;=" &amp; DATE(CurrentYear, CurrentMonth, 1), TransactionDates, "&lt;" &amp; DATE(CurrentYear + IF(CurrentMonth=12, 1, 0), MOD(CurrentMonth, 12) + 1, 1))</f>
        <v>-87</v>
      </c>
      <c r="G13" s="67">
        <f>D13+E13+F13</f>
        <v>208.26</v>
      </c>
      <c r="I13" s="65" t="s">
        <v>61</v>
      </c>
      <c r="J13" s="67" cm="1">
        <f t="array" ref="J13">INDEX(Rollovers[BOM], MATCH(1, (Rollovers[Month]=CurrentMonth)*(Rollovers[Year]=CurrentYear)*(Rollovers[Expense]=I13), 0))</f>
        <v>150.011</v>
      </c>
      <c r="K13" s="67">
        <f>_xlfn.LET(
  _xlpm.CurrDate,    DATE(CurrentYear,CurrentMonth,1),
  _xlpm.Result,      SUMIFS(
                 BudgetHistory[Amount],
                 BudgetHistory[Expense],   I13,
                 BudgetHistory[StartDate], "&lt;=" &amp; _xlpm.CurrDate,
                 BudgetHistory[EndDate],   "&gt;=" &amp; _xlpm.CurrDate
               ),
  IF(_xlpm.Result = 0, INDEX(ExpenseBudgets, MATCH(I13, Expenses!$A:$A, 0)), _xlpm.Result)
)</f>
        <v>150</v>
      </c>
      <c r="L13" s="67" cm="1">
        <f t="array" ref="L13">SUMIFS(TransactionsAmount, TransactionExpenseType, I13, TransactionDates, "&gt;=" &amp; DATE(CurrentYear, CurrentMonth, 1), TransactionDates, "&lt;" &amp; DATE(CurrentYear + IF(CurrentMonth=12, 1, 0), MOD(CurrentMonth, 12) + 1, 1))</f>
        <v>-300</v>
      </c>
      <c r="M13" s="67">
        <f t="shared" si="3"/>
        <v>1.0999999999967258E-2</v>
      </c>
      <c r="O13" s="65" t="s">
        <v>62</v>
      </c>
      <c r="P13" s="67" cm="1">
        <f t="array" ref="P13">INDEX(Rollovers[BOM], MATCH(1, (Rollovers[Month]=CurrentMonth)*(Rollovers[Year]=CurrentYear)*(Rollovers[Expense]=O13), 0))</f>
        <v>165.47</v>
      </c>
      <c r="Q13" s="67">
        <f>_xlfn.LET(
  _xlpm.CurrDate,    DATE(CurrentYear,CurrentMonth,1),
  _xlpm.Result,      SUMIFS(
                 BudgetHistory[Amount],
                 BudgetHistory[Expense],   O13,
                 BudgetHistory[StartDate], "&lt;=" &amp; _xlpm.CurrDate,
                 BudgetHistory[EndDate],   "&gt;=" &amp; _xlpm.CurrDate
               ),
  IF(_xlpm.Result = 0, INDEX(ExpenseBudgets, MATCH(O13, Expenses!$A:$A, 0)), _xlpm.Result)
)</f>
        <v>50</v>
      </c>
      <c r="R13" s="67" cm="1">
        <f t="array" ref="R13">SUMIFS(TransactionsAmount, TransactionExpenseType, O13, TransactionDates, "&gt;=" &amp; DATE(CurrentYear, CurrentMonth, 1), TransactionDates, "&lt;" &amp; DATE(CurrentYear + IF(CurrentMonth=12, 1, 0), MOD(CurrentMonth, 12) + 1, 1))</f>
        <v>0</v>
      </c>
      <c r="S13" s="67">
        <f t="shared" si="2"/>
        <v>215.47</v>
      </c>
    </row>
    <row r="14" spans="1:21" ht="24.75" customHeight="1" thickBot="1">
      <c r="C14" s="65" t="s">
        <v>63</v>
      </c>
      <c r="D14" s="67" cm="1">
        <f t="array" ref="D14">INDEX(Rollovers[BOM], MATCH(1, (Rollovers[Month]=CurrentMonth)*(Rollovers[Year]=CurrentYear)*(Rollovers[Expense]=C14), 0))</f>
        <v>7.47</v>
      </c>
      <c r="E14" s="67">
        <f>_xlfn.LET(
  _xlpm.CurrDate,    DATE(CurrentYear,CurrentMonth,1),
  _xlpm.Result,      SUMIFS(
                 BudgetHistory[Amount],
                 BudgetHistory[Expense],   C14,
                 BudgetHistory[StartDate], "&lt;=" &amp; _xlpm.CurrDate,
                 BudgetHistory[EndDate],   "&gt;=" &amp; _xlpm.CurrDate
               ),
  IF(_xlpm.Result = 0, INDEX(ExpenseBudgets, MATCH(C14, Expenses!$A:$A, 0)), _xlpm.Result)
)</f>
        <v>100</v>
      </c>
      <c r="F14" s="67" cm="1">
        <f t="array" ref="F14">SUMIFS(TransactionsAmount, TransactionExpenseType, C14, TransactionDates, "&gt;=" &amp; DATE(CurrentYear, CurrentMonth, 1), TransactionDates, "&lt;" &amp; DATE(CurrentYear + IF(CurrentMonth=12, 1, 0), MOD(CurrentMonth, 12) + 1, 1))</f>
        <v>-104.57</v>
      </c>
      <c r="G14" s="67">
        <f>D14+E14+F14</f>
        <v>2.9000000000000057</v>
      </c>
      <c r="I14" s="65" t="s">
        <v>64</v>
      </c>
      <c r="J14" s="67" cm="1">
        <f t="array" ref="J14">INDEX(Rollovers[BOM], MATCH(1, (Rollovers[Month]=CurrentMonth)*(Rollovers[Year]=CurrentYear)*(Rollovers[Expense]=I14), 0))</f>
        <v>35.46</v>
      </c>
      <c r="K14" s="67">
        <f>_xlfn.LET(
  _xlpm.CurrDate,    DATE(CurrentYear,CurrentMonth,1),
  _xlpm.Result,      SUMIFS(
                 BudgetHistory[Amount],
                 BudgetHistory[Expense],   I14,
                 BudgetHistory[StartDate], "&lt;=" &amp; _xlpm.CurrDate,
                 BudgetHistory[EndDate],   "&gt;=" &amp; _xlpm.CurrDate
               ),
  IF(_xlpm.Result = 0, INDEX(ExpenseBudgets, MATCH(I14, Expenses!$A:$A, 0)), _xlpm.Result)
)</f>
        <v>294</v>
      </c>
      <c r="L14" s="67" cm="1">
        <f t="array" ref="L14">SUMIFS(TransactionsAmount, TransactionExpenseType, I14, TransactionDates, "&gt;=" &amp; DATE(CurrentYear, CurrentMonth, 1), TransactionDates, "&lt;" &amp; DATE(CurrentYear + IF(CurrentMonth=12, 1, 0), MOD(CurrentMonth, 12) + 1, 1))</f>
        <v>-287</v>
      </c>
      <c r="M14" s="67">
        <f t="shared" si="3"/>
        <v>42.45999999999998</v>
      </c>
      <c r="O14" s="65" t="s">
        <v>65</v>
      </c>
      <c r="P14" s="67" cm="1">
        <f t="array" ref="P14">INDEX(Rollovers[BOM], MATCH(1, (Rollovers[Month]=CurrentMonth)*(Rollovers[Year]=CurrentYear)*(Rollovers[Expense]=O14), 0))</f>
        <v>931.69</v>
      </c>
      <c r="Q14" s="67">
        <f>_xlfn.LET(
  _xlpm.CurrDate,    DATE(CurrentYear,CurrentMonth,1),
  _xlpm.Result,      SUMIFS(
                 BudgetHistory[Amount],
                 BudgetHistory[Expense],   O14,
                 BudgetHistory[StartDate], "&lt;=" &amp; _xlpm.CurrDate,
                 BudgetHistory[EndDate],   "&gt;=" &amp; _xlpm.CurrDate
               ),
  IF(_xlpm.Result = 0, INDEX(ExpenseBudgets, MATCH(O14, Expenses!$A:$A, 0)), _xlpm.Result)
)</f>
        <v>300</v>
      </c>
      <c r="R14" s="67" cm="1">
        <f t="array" ref="R14">SUMIFS(TransactionsAmount, TransactionExpenseType, O14, TransactionDates, "&gt;=" &amp; DATE(CurrentYear, CurrentMonth, 1), TransactionDates, "&lt;" &amp; DATE(CurrentYear + IF(CurrentMonth=12, 1, 0), MOD(CurrentMonth, 12) + 1, 1))</f>
        <v>0</v>
      </c>
      <c r="S14" s="67">
        <f>P14+Q14+R14</f>
        <v>1231.69</v>
      </c>
      <c r="U14" s="32"/>
    </row>
    <row r="15" spans="1:21" ht="24.75" customHeight="1" thickBot="1">
      <c r="O15" s="65" t="s">
        <v>66</v>
      </c>
      <c r="P15" s="67" cm="1">
        <f t="array" ref="P15">INDEX(Rollovers[BOM], MATCH(1, (Rollovers[Month]=CurrentMonth)*(Rollovers[Year]=CurrentYear)*(Rollovers[Expense]=O15), 0))</f>
        <v>2165.31</v>
      </c>
      <c r="Q15" s="67">
        <f>_xlfn.LET(
  _xlpm.CurrDate,    DATE(CurrentYear,CurrentMonth,1),
  _xlpm.Result,      SUMIFS(
                 BudgetHistory[Amount],
                 BudgetHistory[Expense],   O15,
                 BudgetHistory[StartDate], "&lt;=" &amp; _xlpm.CurrDate,
                 BudgetHistory[EndDate],   "&gt;=" &amp; _xlpm.CurrDate
               ),
  IF(_xlpm.Result = 0, INDEX(ExpenseBudgets, MATCH(O15, Expenses!$A:$A, 0)), _xlpm.Result)
)</f>
        <v>150</v>
      </c>
      <c r="R15" s="67" cm="1">
        <f t="array" ref="R15">SUMIFS(TransactionsAmount, TransactionExpenseType, O15, TransactionDates, "&gt;=" &amp; DATE(CurrentYear, CurrentMonth, 1), TransactionDates, "&lt;" &amp; DATE(CurrentYear + IF(CurrentMonth=12, 1, 0), MOD(CurrentMonth, 12) + 1, 1))</f>
        <v>-3</v>
      </c>
      <c r="S15" s="67">
        <f>P15+Q15+R15</f>
        <v>2312.31</v>
      </c>
    </row>
    <row r="16" spans="1:21" ht="24.75" customHeight="1" thickBot="1">
      <c r="O16" t="s">
        <v>67</v>
      </c>
    </row>
    <row r="17" spans="9:19" ht="24.75" customHeight="1" thickBot="1">
      <c r="R17" s="65" t="s">
        <v>68</v>
      </c>
      <c r="S17" s="67">
        <f>SUM(S3:S14)</f>
        <v>4588.92</v>
      </c>
    </row>
    <row r="18" spans="9:19" ht="24.75" customHeight="1" thickBot="1">
      <c r="R18" s="65" t="s">
        <v>69</v>
      </c>
      <c r="S18" s="67">
        <f ca="1">AccruedTotal</f>
        <v>6107.4003571428575</v>
      </c>
    </row>
    <row r="19" spans="9:19" ht="24.75" customHeight="1" thickBot="1">
      <c r="R19" s="65" t="s">
        <v>15</v>
      </c>
      <c r="S19" s="67">
        <f ca="1">S17+S18</f>
        <v>10696.320357142857</v>
      </c>
    </row>
    <row r="20" spans="9:19" ht="24.75" customHeight="1">
      <c r="R20" s="90" t="s">
        <v>70</v>
      </c>
      <c r="S20" s="125">
        <v>11122.34</v>
      </c>
    </row>
    <row r="21" spans="9:19" ht="24.75" customHeight="1">
      <c r="I21" s="119"/>
      <c r="K21" s="2"/>
      <c r="L21" s="2"/>
      <c r="R21" s="65" t="s">
        <v>18</v>
      </c>
      <c r="S21" s="67">
        <f ca="1">S17+S18-S20</f>
        <v>-426.01964285714348</v>
      </c>
    </row>
    <row r="22" spans="9:19" ht="24.75" customHeight="1">
      <c r="R22" s="81" t="s">
        <v>71</v>
      </c>
      <c r="S22" s="125">
        <v>4000</v>
      </c>
    </row>
  </sheetData>
  <mergeCells count="3">
    <mergeCell ref="P1:S1"/>
    <mergeCell ref="D1:G1"/>
    <mergeCell ref="J1:M1"/>
  </mergeCells>
  <dataValidations disablePrompts="1" count="2">
    <dataValidation type="list" allowBlank="1" showInputMessage="1" showErrorMessage="1" sqref="A1" xr:uid="{2EE1D6FA-9320-4851-9B04-93A46F6A4F2C}">
      <formula1>ExpenseAccounts</formula1>
    </dataValidation>
    <dataValidation type="list" allowBlank="1" showInputMessage="1" showErrorMessage="1" sqref="I3:I14 O3:O15 C3:C12 C13:C14" xr:uid="{5BD90A4B-8500-428A-A5D0-172140A9DFDE}">
      <formula1>Expenses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A21E-D97C-4983-B6DB-98A4AEA1E17A}">
  <dimension ref="A1:M70"/>
  <sheetViews>
    <sheetView topLeftCell="A19" workbookViewId="0">
      <pane xSplit="1" topLeftCell="B1" activePane="topRight" state="frozen"/>
      <selection pane="topRight" activeCell="A9" sqref="A9"/>
      <selection activeCell="A9" sqref="A9"/>
    </sheetView>
  </sheetViews>
  <sheetFormatPr defaultRowHeight="18.75"/>
  <cols>
    <col min="1" max="1" width="21.42578125" style="19" customWidth="1"/>
    <col min="2" max="2" width="18.42578125" style="27" customWidth="1"/>
    <col min="3" max="5" width="14" style="9" customWidth="1"/>
    <col min="6" max="6" width="14" style="9" hidden="1" customWidth="1"/>
    <col min="7" max="7" width="8.140625" bestFit="1" customWidth="1"/>
  </cols>
  <sheetData>
    <row r="1" spans="1:8" ht="26.25" customHeight="1">
      <c r="A1" s="12" t="s">
        <v>72</v>
      </c>
      <c r="B1" s="20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</row>
    <row r="2" spans="1:8" ht="26.25" customHeight="1">
      <c r="A2" s="13" t="s">
        <v>33</v>
      </c>
      <c r="B2" s="21">
        <f>443.25*26/12</f>
        <v>960.375</v>
      </c>
      <c r="C2" s="1" t="s">
        <v>2</v>
      </c>
      <c r="D2" s="1" t="s">
        <v>13</v>
      </c>
      <c r="E2" s="1" t="s">
        <v>16</v>
      </c>
      <c r="F2" s="61">
        <v>75</v>
      </c>
      <c r="G2" s="123">
        <v>960.38</v>
      </c>
    </row>
    <row r="3" spans="1:8" ht="26.25" customHeight="1">
      <c r="A3" s="14" t="s">
        <v>64</v>
      </c>
      <c r="B3" s="22">
        <v>302</v>
      </c>
      <c r="C3" s="3" t="s">
        <v>2</v>
      </c>
      <c r="D3" s="3" t="s">
        <v>13</v>
      </c>
      <c r="E3" s="3" t="s">
        <v>16</v>
      </c>
      <c r="F3" s="62">
        <v>8</v>
      </c>
      <c r="G3" s="123">
        <v>302</v>
      </c>
    </row>
    <row r="4" spans="1:8" ht="26.25" customHeight="1">
      <c r="A4" s="13" t="s">
        <v>30</v>
      </c>
      <c r="B4" s="21">
        <v>230.75</v>
      </c>
      <c r="C4" s="1" t="s">
        <v>2</v>
      </c>
      <c r="D4" s="1" t="s">
        <v>13</v>
      </c>
      <c r="E4" s="1" t="s">
        <v>16</v>
      </c>
      <c r="F4" s="61">
        <v>0</v>
      </c>
      <c r="G4" s="123">
        <v>230.7</v>
      </c>
    </row>
    <row r="5" spans="1:8" ht="26.25" customHeight="1">
      <c r="A5" s="14" t="s">
        <v>63</v>
      </c>
      <c r="B5" s="22">
        <v>100</v>
      </c>
      <c r="C5" s="3" t="s">
        <v>2</v>
      </c>
      <c r="D5" s="3" t="s">
        <v>13</v>
      </c>
      <c r="E5" s="3" t="s">
        <v>16</v>
      </c>
      <c r="F5" s="62">
        <v>-50</v>
      </c>
      <c r="G5" s="123">
        <v>100</v>
      </c>
    </row>
    <row r="6" spans="1:8" ht="26.25" customHeight="1">
      <c r="A6" s="13" t="s">
        <v>60</v>
      </c>
      <c r="B6" s="21">
        <v>80</v>
      </c>
      <c r="C6" s="1" t="s">
        <v>2</v>
      </c>
      <c r="D6" s="1" t="s">
        <v>13</v>
      </c>
      <c r="E6" s="1" t="s">
        <v>16</v>
      </c>
      <c r="F6" s="61">
        <v>5</v>
      </c>
      <c r="G6" s="123">
        <v>80</v>
      </c>
    </row>
    <row r="7" spans="1:8" ht="26.25" customHeight="1">
      <c r="A7" s="14" t="s">
        <v>36</v>
      </c>
      <c r="B7" s="22">
        <v>85</v>
      </c>
      <c r="C7" s="3" t="s">
        <v>2</v>
      </c>
      <c r="D7" s="3" t="s">
        <v>13</v>
      </c>
      <c r="E7" s="3" t="s">
        <v>16</v>
      </c>
      <c r="F7" s="62">
        <v>20</v>
      </c>
      <c r="G7" s="123">
        <v>85</v>
      </c>
    </row>
    <row r="8" spans="1:8" ht="26.25" customHeight="1">
      <c r="A8" s="13" t="s">
        <v>39</v>
      </c>
      <c r="B8" s="21">
        <v>125.43</v>
      </c>
      <c r="C8" s="1" t="s">
        <v>2</v>
      </c>
      <c r="D8" s="1" t="s">
        <v>13</v>
      </c>
      <c r="E8" s="1" t="s">
        <v>16</v>
      </c>
      <c r="F8" s="61">
        <v>0</v>
      </c>
      <c r="G8" s="123">
        <v>125.43</v>
      </c>
    </row>
    <row r="9" spans="1:8" ht="26.25" customHeight="1">
      <c r="A9" s="15" t="s">
        <v>35</v>
      </c>
      <c r="B9" s="23">
        <v>91.53</v>
      </c>
      <c r="C9" s="3" t="s">
        <v>2</v>
      </c>
      <c r="D9" s="4" t="s">
        <v>13</v>
      </c>
      <c r="E9" s="4" t="s">
        <v>16</v>
      </c>
      <c r="F9" s="63">
        <v>0</v>
      </c>
      <c r="G9" s="123">
        <v>91.53</v>
      </c>
      <c r="H9" s="67"/>
    </row>
    <row r="10" spans="1:8" ht="26.25" customHeight="1">
      <c r="A10" s="13" t="s">
        <v>29</v>
      </c>
      <c r="B10" s="21">
        <v>221.5</v>
      </c>
      <c r="C10" s="1" t="s">
        <v>3</v>
      </c>
      <c r="D10" s="1" t="s">
        <v>13</v>
      </c>
      <c r="E10" s="1" t="s">
        <v>16</v>
      </c>
      <c r="F10" s="61">
        <v>0</v>
      </c>
      <c r="G10" s="123">
        <v>221.5</v>
      </c>
    </row>
    <row r="11" spans="1:8" ht="26.25" customHeight="1">
      <c r="A11" s="14" t="s">
        <v>32</v>
      </c>
      <c r="B11" s="22">
        <v>200</v>
      </c>
      <c r="C11" s="3" t="s">
        <v>3</v>
      </c>
      <c r="D11" s="3" t="s">
        <v>13</v>
      </c>
      <c r="E11" s="3" t="s">
        <v>16</v>
      </c>
      <c r="F11" s="62">
        <v>696</v>
      </c>
      <c r="G11" s="123">
        <v>200</v>
      </c>
    </row>
    <row r="12" spans="1:8" ht="26.25" customHeight="1">
      <c r="A12" s="16" t="s">
        <v>55</v>
      </c>
      <c r="B12" s="24">
        <v>150</v>
      </c>
      <c r="C12" s="1" t="s">
        <v>10</v>
      </c>
      <c r="D12" s="5" t="s">
        <v>13</v>
      </c>
      <c r="E12" s="5" t="s">
        <v>16</v>
      </c>
      <c r="F12" s="64">
        <v>-56</v>
      </c>
      <c r="G12" s="123">
        <v>100</v>
      </c>
    </row>
    <row r="13" spans="1:8" ht="26.25" customHeight="1">
      <c r="A13" s="13" t="s">
        <v>57</v>
      </c>
      <c r="B13" s="21">
        <v>600</v>
      </c>
      <c r="C13" s="1" t="s">
        <v>7</v>
      </c>
      <c r="D13" s="1" t="s">
        <v>13</v>
      </c>
      <c r="E13" s="1" t="s">
        <v>16</v>
      </c>
      <c r="F13" s="61">
        <v>-212</v>
      </c>
      <c r="G13" s="123">
        <v>600</v>
      </c>
    </row>
    <row r="14" spans="1:8" ht="26.25" customHeight="1">
      <c r="A14" s="14" t="s">
        <v>52</v>
      </c>
      <c r="B14" s="22">
        <v>100</v>
      </c>
      <c r="C14" s="3" t="s">
        <v>8</v>
      </c>
      <c r="D14" s="3" t="s">
        <v>13</v>
      </c>
      <c r="E14" s="3" t="s">
        <v>16</v>
      </c>
      <c r="F14" s="62">
        <v>26</v>
      </c>
      <c r="G14" s="123">
        <v>100</v>
      </c>
    </row>
    <row r="15" spans="1:8" ht="26.25" customHeight="1">
      <c r="A15" s="13" t="s">
        <v>48</v>
      </c>
      <c r="B15" s="21">
        <v>10</v>
      </c>
      <c r="C15" s="1" t="s">
        <v>11</v>
      </c>
      <c r="D15" s="1" t="s">
        <v>13</v>
      </c>
      <c r="E15" s="1" t="s">
        <v>16</v>
      </c>
      <c r="F15" s="61">
        <v>-26</v>
      </c>
      <c r="G15" s="123">
        <v>10</v>
      </c>
    </row>
    <row r="16" spans="1:8" ht="26.25" customHeight="1">
      <c r="A16" s="14" t="s">
        <v>79</v>
      </c>
      <c r="B16" s="22">
        <v>0</v>
      </c>
      <c r="C16" s="3" t="s">
        <v>11</v>
      </c>
      <c r="D16" s="3" t="s">
        <v>13</v>
      </c>
      <c r="E16" s="3" t="s">
        <v>16</v>
      </c>
      <c r="F16" s="62">
        <v>0</v>
      </c>
      <c r="G16" s="123"/>
    </row>
    <row r="17" spans="1:13" ht="26.25" customHeight="1">
      <c r="A17" s="13" t="s">
        <v>49</v>
      </c>
      <c r="B17" s="21">
        <f>((50*26)+(50*12))/12</f>
        <v>158.33333333333334</v>
      </c>
      <c r="C17" s="1" t="s">
        <v>6</v>
      </c>
      <c r="D17" s="1" t="s">
        <v>20</v>
      </c>
      <c r="E17" s="1" t="s">
        <v>16</v>
      </c>
      <c r="F17" s="61">
        <v>0</v>
      </c>
      <c r="G17" s="123">
        <f>ExpenseData[[#This Row],[Budget]]</f>
        <v>158.33333333333334</v>
      </c>
    </row>
    <row r="18" spans="1:13" ht="26.25" customHeight="1">
      <c r="A18" s="14" t="s">
        <v>51</v>
      </c>
      <c r="B18" s="22">
        <f xml:space="preserve"> 125.87+125.57</f>
        <v>251.44</v>
      </c>
      <c r="C18" s="3" t="s">
        <v>6</v>
      </c>
      <c r="D18" s="3" t="s">
        <v>20</v>
      </c>
      <c r="E18" s="3" t="s">
        <v>16</v>
      </c>
      <c r="F18" s="62">
        <v>0</v>
      </c>
      <c r="G18" s="123">
        <v>251.44</v>
      </c>
    </row>
    <row r="19" spans="1:13" ht="26.25" customHeight="1">
      <c r="A19" s="13" t="s">
        <v>66</v>
      </c>
      <c r="B19" s="21">
        <v>200</v>
      </c>
      <c r="C19" s="1" t="s">
        <v>10</v>
      </c>
      <c r="D19" s="1" t="s">
        <v>20</v>
      </c>
      <c r="E19" s="1" t="s">
        <v>17</v>
      </c>
      <c r="F19" s="61">
        <v>657</v>
      </c>
      <c r="G19" s="123">
        <v>0</v>
      </c>
    </row>
    <row r="20" spans="1:13" ht="26.25" customHeight="1">
      <c r="A20" s="15" t="s">
        <v>61</v>
      </c>
      <c r="B20" s="23">
        <v>150</v>
      </c>
      <c r="C20" s="3" t="s">
        <v>6</v>
      </c>
      <c r="D20" s="4" t="s">
        <v>20</v>
      </c>
      <c r="E20" s="4" t="s">
        <v>16</v>
      </c>
      <c r="F20" s="63">
        <v>0</v>
      </c>
      <c r="G20" s="123">
        <v>0</v>
      </c>
    </row>
    <row r="21" spans="1:13" ht="26.25" customHeight="1">
      <c r="A21" s="13" t="s">
        <v>56</v>
      </c>
      <c r="B21" s="21">
        <v>300</v>
      </c>
      <c r="C21" s="1" t="s">
        <v>3</v>
      </c>
      <c r="D21" s="1" t="s">
        <v>20</v>
      </c>
      <c r="E21" s="1" t="s">
        <v>17</v>
      </c>
      <c r="F21" s="61">
        <v>300.18</v>
      </c>
      <c r="G21" s="123"/>
    </row>
    <row r="22" spans="1:13" ht="26.25" customHeight="1">
      <c r="A22" s="13" t="s">
        <v>65</v>
      </c>
      <c r="B22" s="21">
        <v>300</v>
      </c>
      <c r="C22" s="1" t="s">
        <v>8</v>
      </c>
      <c r="D22" s="1" t="s">
        <v>20</v>
      </c>
      <c r="E22" s="1" t="s">
        <v>17</v>
      </c>
      <c r="F22" s="61">
        <v>699</v>
      </c>
      <c r="G22" s="123"/>
    </row>
    <row r="23" spans="1:13" ht="26.25" customHeight="1">
      <c r="A23" s="14" t="s">
        <v>37</v>
      </c>
      <c r="B23" s="22">
        <v>150</v>
      </c>
      <c r="C23" s="3" t="s">
        <v>8</v>
      </c>
      <c r="D23" s="3" t="s">
        <v>14</v>
      </c>
      <c r="E23" s="3" t="s">
        <v>17</v>
      </c>
      <c r="F23" s="62"/>
      <c r="G23" s="123"/>
    </row>
    <row r="24" spans="1:13" ht="26.25" customHeight="1">
      <c r="A24" s="16" t="s">
        <v>42</v>
      </c>
      <c r="B24" s="24">
        <f>((25.98*12)/6*2)/12</f>
        <v>8.66</v>
      </c>
      <c r="C24" s="1" t="s">
        <v>9</v>
      </c>
      <c r="D24" s="5" t="s">
        <v>14</v>
      </c>
      <c r="E24" s="5" t="s">
        <v>16</v>
      </c>
      <c r="F24" s="64">
        <v>0</v>
      </c>
      <c r="G24" s="123">
        <v>8.66</v>
      </c>
    </row>
    <row r="25" spans="1:13" ht="26.25" customHeight="1">
      <c r="A25" s="14" t="s">
        <v>31</v>
      </c>
      <c r="B25" s="22">
        <v>200</v>
      </c>
      <c r="C25" s="3" t="s">
        <v>4</v>
      </c>
      <c r="D25" s="3" t="s">
        <v>14</v>
      </c>
      <c r="E25" s="3" t="s">
        <v>17</v>
      </c>
      <c r="F25" s="62">
        <v>1769.34</v>
      </c>
      <c r="G25" s="123"/>
    </row>
    <row r="26" spans="1:13" ht="26.25" customHeight="1">
      <c r="A26" s="13" t="s">
        <v>34</v>
      </c>
      <c r="B26" s="21">
        <v>140</v>
      </c>
      <c r="C26" s="5" t="s">
        <v>4</v>
      </c>
      <c r="D26" s="1" t="s">
        <v>14</v>
      </c>
      <c r="E26" s="1" t="s">
        <v>17</v>
      </c>
      <c r="F26" s="61">
        <v>184.49</v>
      </c>
      <c r="G26" s="123"/>
    </row>
    <row r="27" spans="1:13" ht="26.25" customHeight="1">
      <c r="A27" s="14" t="s">
        <v>53</v>
      </c>
      <c r="B27" s="22">
        <v>100</v>
      </c>
      <c r="C27" s="3" t="s">
        <v>9</v>
      </c>
      <c r="D27" s="3" t="s">
        <v>14</v>
      </c>
      <c r="E27" s="3" t="s">
        <v>17</v>
      </c>
      <c r="F27" s="62">
        <v>68.45</v>
      </c>
      <c r="G27" s="123"/>
    </row>
    <row r="28" spans="1:13" ht="26.25" customHeight="1">
      <c r="A28" s="15" t="s">
        <v>41</v>
      </c>
      <c r="B28" s="23">
        <v>50</v>
      </c>
      <c r="C28" s="4" t="s">
        <v>7</v>
      </c>
      <c r="D28" s="4" t="s">
        <v>14</v>
      </c>
      <c r="E28" s="4" t="s">
        <v>17</v>
      </c>
      <c r="F28" s="62">
        <v>117.83</v>
      </c>
      <c r="G28" s="123"/>
      <c r="H28" s="2"/>
    </row>
    <row r="29" spans="1:13" ht="26.25" customHeight="1">
      <c r="A29" s="13" t="s">
        <v>54</v>
      </c>
      <c r="B29" s="21">
        <v>50</v>
      </c>
      <c r="C29" s="1" t="s">
        <v>7</v>
      </c>
      <c r="D29" s="1" t="s">
        <v>14</v>
      </c>
      <c r="E29" s="1" t="s">
        <v>16</v>
      </c>
      <c r="F29" s="61">
        <v>46</v>
      </c>
      <c r="G29" s="123"/>
    </row>
    <row r="30" spans="1:13" ht="26.25" customHeight="1">
      <c r="A30" s="14" t="s">
        <v>44</v>
      </c>
      <c r="B30" s="22">
        <v>140</v>
      </c>
      <c r="C30" s="3" t="s">
        <v>8</v>
      </c>
      <c r="D30" s="3" t="s">
        <v>14</v>
      </c>
      <c r="E30" s="3" t="s">
        <v>17</v>
      </c>
      <c r="F30" s="62">
        <v>529.4</v>
      </c>
      <c r="G30" s="123"/>
    </row>
    <row r="31" spans="1:13" ht="26.25" customHeight="1">
      <c r="A31" s="13" t="s">
        <v>58</v>
      </c>
      <c r="B31" s="21">
        <v>140</v>
      </c>
      <c r="C31" s="1" t="s">
        <v>8</v>
      </c>
      <c r="D31" s="1" t="s">
        <v>14</v>
      </c>
      <c r="E31" s="1" t="s">
        <v>16</v>
      </c>
      <c r="F31" s="61">
        <v>62</v>
      </c>
      <c r="G31" s="123"/>
      <c r="M31" s="2"/>
    </row>
    <row r="32" spans="1:13" ht="26.25" customHeight="1">
      <c r="A32" s="13" t="s">
        <v>47</v>
      </c>
      <c r="B32" s="21">
        <v>200</v>
      </c>
      <c r="C32" s="1" t="s">
        <v>8</v>
      </c>
      <c r="D32" s="1" t="s">
        <v>13</v>
      </c>
      <c r="E32" s="1" t="s">
        <v>17</v>
      </c>
      <c r="F32" s="61">
        <v>3.57</v>
      </c>
      <c r="G32" s="123">
        <v>50</v>
      </c>
    </row>
    <row r="33" spans="1:7" ht="26.25" customHeight="1">
      <c r="A33" s="14" t="s">
        <v>59</v>
      </c>
      <c r="B33" s="22">
        <v>150</v>
      </c>
      <c r="C33" s="3" t="s">
        <v>9</v>
      </c>
      <c r="D33" s="3" t="s">
        <v>14</v>
      </c>
      <c r="E33" s="3" t="s">
        <v>17</v>
      </c>
      <c r="F33" s="63">
        <v>234.8</v>
      </c>
      <c r="G33" s="123"/>
    </row>
    <row r="34" spans="1:7" ht="26.25" customHeight="1">
      <c r="A34" s="14" t="s">
        <v>43</v>
      </c>
      <c r="B34" s="22">
        <f>65.52/12+9.03*2</f>
        <v>23.52</v>
      </c>
      <c r="C34" s="3" t="s">
        <v>10</v>
      </c>
      <c r="D34" s="3" t="s">
        <v>14</v>
      </c>
      <c r="E34" s="3" t="s">
        <v>16</v>
      </c>
      <c r="F34" s="62">
        <v>-325.52999999999997</v>
      </c>
      <c r="G34" s="123">
        <v>0</v>
      </c>
    </row>
    <row r="35" spans="1:7" ht="26.25" customHeight="1">
      <c r="A35" s="14" t="s">
        <v>62</v>
      </c>
      <c r="B35" s="22">
        <v>50</v>
      </c>
      <c r="C35" s="3" t="s">
        <v>9</v>
      </c>
      <c r="D35" s="3" t="s">
        <v>14</v>
      </c>
      <c r="E35" s="3" t="s">
        <v>17</v>
      </c>
      <c r="F35" s="62">
        <v>247.56</v>
      </c>
      <c r="G35" s="123"/>
    </row>
    <row r="36" spans="1:7" ht="26.25" customHeight="1">
      <c r="A36" s="16" t="s">
        <v>50</v>
      </c>
      <c r="B36" s="24">
        <v>130</v>
      </c>
      <c r="C36" s="1" t="s">
        <v>9</v>
      </c>
      <c r="D36" s="5" t="s">
        <v>14</v>
      </c>
      <c r="E36" s="5" t="s">
        <v>17</v>
      </c>
      <c r="F36" s="64">
        <v>141.44999999999999</v>
      </c>
      <c r="G36" s="123">
        <v>50</v>
      </c>
    </row>
    <row r="37" spans="1:7" ht="26.25" customHeight="1">
      <c r="A37" s="14" t="s">
        <v>45</v>
      </c>
      <c r="B37" s="22">
        <v>65</v>
      </c>
      <c r="C37" s="3" t="s">
        <v>9</v>
      </c>
      <c r="D37" s="3" t="s">
        <v>14</v>
      </c>
      <c r="E37" s="3" t="s">
        <v>16</v>
      </c>
      <c r="F37" s="62">
        <v>14</v>
      </c>
      <c r="G37" s="123">
        <v>0</v>
      </c>
    </row>
    <row r="38" spans="1:7" ht="26.25" customHeight="1">
      <c r="A38" s="17" t="s">
        <v>40</v>
      </c>
      <c r="B38" s="25">
        <v>400</v>
      </c>
      <c r="C38" s="7" t="s">
        <v>10</v>
      </c>
      <c r="D38" s="7" t="s">
        <v>14</v>
      </c>
      <c r="E38" s="7" t="s">
        <v>16</v>
      </c>
      <c r="F38" s="64">
        <v>0</v>
      </c>
      <c r="G38" s="123">
        <v>0</v>
      </c>
    </row>
    <row r="39" spans="1:7" ht="26.25" customHeight="1">
      <c r="A39" s="14" t="s">
        <v>46</v>
      </c>
      <c r="B39" s="22">
        <v>20</v>
      </c>
      <c r="C39" s="3" t="s">
        <v>9</v>
      </c>
      <c r="D39" s="3" t="s">
        <v>14</v>
      </c>
      <c r="E39" s="3" t="s">
        <v>16</v>
      </c>
      <c r="F39" s="62">
        <v>0</v>
      </c>
      <c r="G39" s="123"/>
    </row>
    <row r="40" spans="1:7" ht="26.25" customHeight="1">
      <c r="A40" s="18" t="s">
        <v>5</v>
      </c>
      <c r="B40" s="106">
        <f ca="1">AccrualsMonthly</f>
        <v>797.34422619047609</v>
      </c>
      <c r="C40" s="8" t="s">
        <v>5</v>
      </c>
      <c r="D40" s="8" t="s">
        <v>14</v>
      </c>
      <c r="E40" s="8" t="s">
        <v>17</v>
      </c>
      <c r="F40" s="63">
        <v>0</v>
      </c>
      <c r="G40" s="123"/>
    </row>
    <row r="41" spans="1:7" ht="26.25" customHeight="1">
      <c r="A41" s="105"/>
      <c r="B41" s="21"/>
      <c r="C41" s="1"/>
      <c r="D41" s="1"/>
      <c r="E41" s="1"/>
      <c r="F41" s="61"/>
      <c r="G41" s="123"/>
    </row>
    <row r="42" spans="1:7" ht="26.25" customHeight="1">
      <c r="A42" s="18" t="s">
        <v>15</v>
      </c>
      <c r="B42" s="26">
        <f ca="1">SUBTOTAL(109,ExpenseData[Budget])</f>
        <v>7430.8825595238104</v>
      </c>
      <c r="C42" s="8"/>
      <c r="D42" s="8"/>
      <c r="E42" s="8"/>
      <c r="F42" s="8"/>
      <c r="G42" s="124"/>
    </row>
    <row r="43" spans="1:7" ht="26.25" customHeight="1"/>
    <row r="44" spans="1:7" ht="26.25" customHeight="1">
      <c r="G44" s="80">
        <f>SUM(G2:G43)</f>
        <v>3724.9733333333334</v>
      </c>
    </row>
    <row r="45" spans="1:7" ht="26.25" customHeight="1"/>
    <row r="46" spans="1:7" ht="26.25" customHeight="1"/>
    <row r="47" spans="1:7" ht="26.25" customHeight="1"/>
    <row r="48" spans="1:7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</sheetData>
  <phoneticPr fontId="6" type="noConversion"/>
  <dataValidations count="1">
    <dataValidation type="list" allowBlank="1" showInputMessage="1" showErrorMessage="1" sqref="H8" xr:uid="{33C942BA-432A-46A2-938F-BE6AB165017B}">
      <formula1>Expenses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2A49-7AF8-4852-AEC2-F8A305533DDA}">
  <dimension ref="A1:L13"/>
  <sheetViews>
    <sheetView workbookViewId="0">
      <selection activeCell="J9" sqref="J9"/>
    </sheetView>
  </sheetViews>
  <sheetFormatPr defaultRowHeight="15"/>
  <cols>
    <col min="2" max="2" width="21.7109375" bestFit="1" customWidth="1"/>
    <col min="3" max="3" width="22" customWidth="1"/>
    <col min="4" max="5" width="16.5703125" style="32" customWidth="1"/>
    <col min="6" max="6" width="16.5703125" customWidth="1"/>
    <col min="7" max="8" width="18.28515625" customWidth="1"/>
    <col min="9" max="9" width="16.5703125" style="34" customWidth="1"/>
    <col min="10" max="11" width="16.5703125" customWidth="1"/>
    <col min="12" max="15" width="0" hidden="1" customWidth="1"/>
  </cols>
  <sheetData>
    <row r="1" spans="1:12" ht="31.5" customHeight="1" thickBot="1">
      <c r="A1" s="11" t="s">
        <v>80</v>
      </c>
      <c r="B1" s="12" t="s">
        <v>81</v>
      </c>
      <c r="C1" s="28" t="s">
        <v>82</v>
      </c>
      <c r="D1" s="30" t="s">
        <v>83</v>
      </c>
      <c r="E1" s="30" t="s">
        <v>84</v>
      </c>
      <c r="F1" s="28" t="s">
        <v>85</v>
      </c>
      <c r="G1" s="28" t="s">
        <v>86</v>
      </c>
      <c r="H1" s="28" t="s">
        <v>87</v>
      </c>
      <c r="I1" s="33" t="s">
        <v>88</v>
      </c>
      <c r="J1" s="28" t="s">
        <v>89</v>
      </c>
      <c r="K1" s="28" t="s">
        <v>90</v>
      </c>
      <c r="L1" s="111" t="s">
        <v>91</v>
      </c>
    </row>
    <row r="2" spans="1:12" ht="31.5" customHeight="1" thickBot="1">
      <c r="A2" s="114" t="s">
        <v>92</v>
      </c>
      <c r="B2" s="17" t="s">
        <v>93</v>
      </c>
      <c r="C2" s="10">
        <f>IncomeData[[#This Row],[Gross]]*26</f>
        <v>94094</v>
      </c>
      <c r="D2" s="31">
        <v>3619</v>
      </c>
      <c r="E2" s="31">
        <v>2388.1</v>
      </c>
      <c r="F2" s="40">
        <v>70</v>
      </c>
      <c r="G2" s="10">
        <f>IncomeData[[#This Row],[Gross]]/IncomeData[[#This Row],[Hours]]</f>
        <v>51.7</v>
      </c>
      <c r="H2" s="10">
        <f>IncomeData[[#This Row],[Net]]/IncomeData[[#This Row],[Hours]]</f>
        <v>34.115714285714283</v>
      </c>
      <c r="I2" s="35">
        <f>1-(IncomeData[[#This Row],[Net]]/IncomeData[[#This Row],[Gross]])</f>
        <v>0.3401215805471125</v>
      </c>
      <c r="J2" s="10">
        <f>IncomeData[[#This Row],[Yearly]]/12</f>
        <v>5174.2166666666662</v>
      </c>
      <c r="K2" s="10">
        <f>IncomeData[[#This Row],[Net]]*26</f>
        <v>62090.6</v>
      </c>
      <c r="L2" s="34">
        <f>IncomeData[[#This Row],[Yearly]]/IncomeData[[#Totals],[Yearly]]</f>
        <v>0.64402428204277673</v>
      </c>
    </row>
    <row r="3" spans="1:12" ht="31.5" customHeight="1" thickBot="1">
      <c r="A3" s="114" t="s">
        <v>94</v>
      </c>
      <c r="B3" s="17" t="s">
        <v>93</v>
      </c>
      <c r="C3" s="31">
        <v>46691.47</v>
      </c>
      <c r="D3" s="10">
        <f>IncomeData[[#This Row],[Salary]]/26</f>
        <v>1795.8257692307693</v>
      </c>
      <c r="E3" s="31">
        <v>1319.99</v>
      </c>
      <c r="F3" s="40">
        <v>75</v>
      </c>
      <c r="G3" s="10">
        <f>IncomeData[[#This Row],[Gross]]/IncomeData[[#This Row],[Hours]]</f>
        <v>23.944343589743593</v>
      </c>
      <c r="H3" s="10">
        <f>IncomeData[[#This Row],[Net]]/IncomeData[[#This Row],[Hours]]</f>
        <v>17.599866666666667</v>
      </c>
      <c r="I3" s="35">
        <f>1-(IncomeData[[#This Row],[Net]]/IncomeData[[#This Row],[Gross]])</f>
        <v>0.26496766968356322</v>
      </c>
      <c r="J3" s="10">
        <f>IncomeData[[#This Row],[Yearly]]/12</f>
        <v>2859.978333333333</v>
      </c>
      <c r="K3" s="10">
        <f>IncomeData[[#This Row],[Net]]*26</f>
        <v>34319.74</v>
      </c>
      <c r="L3" s="34">
        <f>IncomeData[[#This Row],[Yearly]]/IncomeData[[#Totals],[Yearly]]</f>
        <v>0.35597571795722327</v>
      </c>
    </row>
    <row r="4" spans="1:12" ht="31.5" customHeight="1" thickBot="1">
      <c r="B4" s="41" t="s">
        <v>95</v>
      </c>
      <c r="C4" s="10">
        <f>SUBTOTAL(109,IncomeData[Salary])</f>
        <v>140785.47</v>
      </c>
      <c r="D4" s="10">
        <f>SUBTOTAL(109,IncomeData[Gross])</f>
        <v>5414.8257692307689</v>
      </c>
      <c r="E4" s="10">
        <f>SUBTOTAL(109,IncomeData[Net])</f>
        <v>3708.09</v>
      </c>
      <c r="F4" s="39">
        <f>SUBTOTAL(101,IncomeData[Hours])</f>
        <v>72.5</v>
      </c>
      <c r="G4" s="36">
        <f>SUBTOTAL(101,IncomeData[Hourly Rate])</f>
        <v>37.822171794871799</v>
      </c>
      <c r="H4" s="36">
        <f>SUBTOTAL(101,IncomeData[Income Rate])</f>
        <v>25.857790476190473</v>
      </c>
      <c r="I4" s="37">
        <f>SUBTOTAL(101,IncomeData[Deductions])</f>
        <v>0.30254462511533786</v>
      </c>
      <c r="J4" s="38">
        <f>SUBTOTAL(109,IncomeData[Monthly])</f>
        <v>8034.1949999999997</v>
      </c>
      <c r="K4" s="38">
        <f>SUBTOTAL(109,IncomeData[Yearly])</f>
        <v>96410.34</v>
      </c>
      <c r="L4" s="110"/>
    </row>
    <row r="5" spans="1:12">
      <c r="K5" s="2"/>
    </row>
    <row r="6" spans="1:12">
      <c r="D6"/>
      <c r="E6"/>
    </row>
    <row r="7" spans="1:12">
      <c r="D7"/>
      <c r="E7"/>
    </row>
    <row r="8" spans="1:12">
      <c r="D8"/>
      <c r="E8"/>
    </row>
    <row r="9" spans="1:12">
      <c r="D9"/>
      <c r="E9"/>
    </row>
    <row r="10" spans="1:12">
      <c r="D10"/>
      <c r="E10"/>
      <c r="J10" s="32"/>
    </row>
    <row r="11" spans="1:12">
      <c r="D11"/>
      <c r="E11"/>
      <c r="I11" s="32"/>
      <c r="J11" s="32"/>
    </row>
    <row r="12" spans="1:12">
      <c r="D12"/>
      <c r="E12"/>
      <c r="I12" s="32"/>
      <c r="J12" s="32"/>
    </row>
    <row r="13" spans="1:12">
      <c r="D13"/>
      <c r="E13"/>
      <c r="I13" s="32"/>
    </row>
  </sheetData>
  <dataValidations count="1">
    <dataValidation type="list" allowBlank="1" showInputMessage="1" showErrorMessage="1" sqref="C8 E10" xr:uid="{120B8652-F48F-49C7-8F76-742C8E6DE21E}">
      <formula1>Expenses</formula1>
    </dataValidation>
  </dataValidations>
  <pageMargins left="0.7" right="0.7" top="0.75" bottom="0.75" header="0.3" footer="0.3"/>
  <ignoredErrors>
    <ignoredError sqref="D3" calculatedColumn="1"/>
  </ignoredErrors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09A2-3041-488C-86D4-378B7D441822}">
  <sheetPr>
    <outlinePr summaryBelow="0" summaryRight="0"/>
  </sheetPr>
  <dimension ref="A1:AA992"/>
  <sheetViews>
    <sheetView zoomScale="160" zoomScaleNormal="160" workbookViewId="0">
      <selection activeCell="B22" sqref="B22"/>
    </sheetView>
  </sheetViews>
  <sheetFormatPr defaultColWidth="12.5703125" defaultRowHeight="15.75" customHeight="1"/>
  <cols>
    <col min="1" max="1" width="39.85546875" style="84" customWidth="1"/>
    <col min="2" max="2" width="15.42578125" style="84" bestFit="1" customWidth="1"/>
    <col min="3" max="3" width="16.5703125" style="84" bestFit="1" customWidth="1"/>
    <col min="4" max="4" width="13" style="84" customWidth="1"/>
    <col min="5" max="5" width="12.5703125" style="84" customWidth="1"/>
    <col min="6" max="6" width="14.42578125" style="84" customWidth="1"/>
    <col min="7" max="7" width="14.5703125" style="84" bestFit="1" customWidth="1"/>
    <col min="8" max="8" width="11.42578125" style="84" hidden="1" customWidth="1"/>
    <col min="9" max="9" width="13.5703125" style="84" hidden="1" customWidth="1"/>
    <col min="10" max="10" width="11.42578125" style="84" hidden="1" customWidth="1"/>
    <col min="11" max="11" width="13.42578125" style="84" hidden="1" customWidth="1"/>
    <col min="12" max="12" width="12.5703125" style="84" hidden="1" customWidth="1"/>
    <col min="13" max="13" width="4.28515625" style="84" customWidth="1"/>
    <col min="14" max="14" width="12.5703125" style="84"/>
    <col min="15" max="15" width="16.42578125" style="84" customWidth="1"/>
    <col min="16" max="16384" width="12.5703125" style="84"/>
  </cols>
  <sheetData>
    <row r="1" spans="1:27" ht="32.25" customHeight="1">
      <c r="A1" s="82" t="s">
        <v>96</v>
      </c>
      <c r="B1" s="89" t="s">
        <v>97</v>
      </c>
      <c r="C1" s="89" t="s">
        <v>98</v>
      </c>
      <c r="D1" s="82" t="s">
        <v>73</v>
      </c>
      <c r="E1" s="82" t="s">
        <v>99</v>
      </c>
      <c r="F1" s="89" t="s">
        <v>100</v>
      </c>
      <c r="G1" s="89" t="s">
        <v>101</v>
      </c>
      <c r="H1" s="89" t="s">
        <v>102</v>
      </c>
      <c r="I1" s="89" t="s">
        <v>103</v>
      </c>
      <c r="J1" s="89" t="s">
        <v>104</v>
      </c>
      <c r="K1" s="89" t="s">
        <v>105</v>
      </c>
      <c r="L1" s="82" t="s">
        <v>106</v>
      </c>
      <c r="M1" s="83"/>
      <c r="N1" s="130" t="s">
        <v>107</v>
      </c>
      <c r="O1" s="131">
        <f ca="1">MonthlyLeftover</f>
        <v>603.31244047618929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 spans="1:27" ht="12.75">
      <c r="A2" s="97" t="s">
        <v>108</v>
      </c>
      <c r="B2" s="87">
        <v>45870</v>
      </c>
      <c r="C2" s="87">
        <v>46054</v>
      </c>
      <c r="D2" s="88">
        <v>1000</v>
      </c>
      <c r="E2" s="88">
        <v>0</v>
      </c>
      <c r="F2" s="85">
        <f ca="1">IFERROR(H2*G2+E2,0)</f>
        <v>857.14285714285711</v>
      </c>
      <c r="G2" s="85">
        <f>IFERROR((D2-E2)/I2,0)</f>
        <v>142.85714285714286</v>
      </c>
      <c r="H2" s="86">
        <f ca="1">IFERROR(DATEDIF(B2,TODAY(),"M")+1,0)</f>
        <v>6</v>
      </c>
      <c r="I2" s="86">
        <f>DATEDIF(B2,C2,"M")+1</f>
        <v>7</v>
      </c>
      <c r="J2" s="86">
        <f t="shared" ref="J2:J13" ca="1" si="0">IFERROR(DATEDIF(B2,TODAY(),"D"),DATEDIF(TODAY(),B2,"D")*-1)</f>
        <v>160</v>
      </c>
      <c r="K2" s="85" t="b">
        <f ca="1">IFERROR(_xlfn.XOR(J2&gt;=-31,L2),FALSE)</f>
        <v>1</v>
      </c>
      <c r="L2" s="86" t="b">
        <f ca="1">IFERROR(DATEDIF(C2,TODAY(),"D")&gt;=0,FALSE)</f>
        <v>0</v>
      </c>
      <c r="M2" s="83"/>
      <c r="N2" s="134"/>
      <c r="O2" s="135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spans="1:27" ht="12.75">
      <c r="A3" s="97" t="s">
        <v>109</v>
      </c>
      <c r="B3" s="87">
        <v>45870</v>
      </c>
      <c r="C3" s="87">
        <v>46388</v>
      </c>
      <c r="D3" s="88">
        <v>6000</v>
      </c>
      <c r="E3" s="88">
        <v>0</v>
      </c>
      <c r="F3" s="85">
        <f ca="1">IFERROR(H3*G3+E3,0)</f>
        <v>2000</v>
      </c>
      <c r="G3" s="85">
        <f>IFERROR((D3-E3)/I3,0)</f>
        <v>333.33333333333331</v>
      </c>
      <c r="H3" s="86">
        <f ca="1">IFERROR(DATEDIF(B3,TODAY(),"M")+1,0)</f>
        <v>6</v>
      </c>
      <c r="I3" s="86">
        <f>DATEDIF(B3,C3,"M")+1</f>
        <v>18</v>
      </c>
      <c r="J3" s="86">
        <f t="shared" ca="1" si="0"/>
        <v>160</v>
      </c>
      <c r="K3" s="85" t="b">
        <f ca="1">IFERROR(_xlfn.XOR(J3&gt;=-31,L3),FALSE)</f>
        <v>1</v>
      </c>
      <c r="L3" s="86" t="b">
        <f t="shared" ref="L3:L13" ca="1" si="1">IFERROR(DATEDIF(C3,TODAY(),"D")&gt;=0,FALSE)</f>
        <v>0</v>
      </c>
      <c r="M3" s="83"/>
      <c r="N3" s="83"/>
      <c r="O3" s="83" t="s">
        <v>110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spans="1:27" ht="12.75">
      <c r="A4" s="98" t="s">
        <v>111</v>
      </c>
      <c r="B4" s="87">
        <v>45931</v>
      </c>
      <c r="C4" s="87">
        <v>46388</v>
      </c>
      <c r="D4" s="88">
        <v>4000</v>
      </c>
      <c r="E4" s="88">
        <v>0</v>
      </c>
      <c r="F4" s="85">
        <f ca="1">IFERROR(H4*G4+E4,0)</f>
        <v>1000</v>
      </c>
      <c r="G4" s="85">
        <f>IFERROR((D4-E4)/I4,0)</f>
        <v>250</v>
      </c>
      <c r="H4" s="86">
        <f ca="1">IFERROR(DATEDIF(B4,TODAY(),"M")+1,0)</f>
        <v>4</v>
      </c>
      <c r="I4" s="86">
        <f>DATEDIF(B4,C4,"M")+1</f>
        <v>16</v>
      </c>
      <c r="J4" s="86">
        <f t="shared" ca="1" si="0"/>
        <v>99</v>
      </c>
      <c r="K4" s="85" t="b">
        <f t="shared" ref="K4:K13" ca="1" si="2">IFERROR(_xlfn.XOR(J4&gt;=-31,L4),FALSE)</f>
        <v>1</v>
      </c>
      <c r="L4" s="86" t="b">
        <f t="shared" ca="1" si="1"/>
        <v>0</v>
      </c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spans="1:27" ht="12.75">
      <c r="A5" s="98" t="s">
        <v>112</v>
      </c>
      <c r="B5" s="87">
        <v>46023</v>
      </c>
      <c r="C5" s="87">
        <v>46023</v>
      </c>
      <c r="D5" s="120">
        <f>E5+114.42</f>
        <v>1377.18</v>
      </c>
      <c r="E5" s="122">
        <f>(286.02+209.1+255.88+255.88+255.88)</f>
        <v>1262.76</v>
      </c>
      <c r="F5" s="85">
        <f ca="1">IFERROR(H5*G5+E5,0)</f>
        <v>1377.18</v>
      </c>
      <c r="G5" s="85">
        <f>IFERROR((D5-E5)/I5,0)</f>
        <v>114.42000000000007</v>
      </c>
      <c r="H5" s="86">
        <f ca="1">IFERROR(DATEDIF(B5,TODAY(),"M")+1,0)</f>
        <v>1</v>
      </c>
      <c r="I5" s="86">
        <f>DATEDIF(B5,C5,"M")+1</f>
        <v>1</v>
      </c>
      <c r="J5" s="86">
        <f t="shared" ref="J5" ca="1" si="3">IFERROR(DATEDIF(B5,TODAY(),"D"),DATEDIF(TODAY(),B5,"D")*-1)</f>
        <v>7</v>
      </c>
      <c r="K5" s="85" t="b">
        <f t="shared" ca="1" si="2"/>
        <v>0</v>
      </c>
      <c r="L5" s="86" t="b">
        <f ca="1">IFERROR(DATEDIF(C5,TODAY(),"D")&gt;=0,FALSE)</f>
        <v>1</v>
      </c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spans="1:27" ht="15" customHeight="1">
      <c r="A6" s="98" t="s">
        <v>113</v>
      </c>
      <c r="B6" s="87">
        <v>45992</v>
      </c>
      <c r="C6" s="87">
        <v>46204</v>
      </c>
      <c r="D6" s="88">
        <v>800</v>
      </c>
      <c r="E6" s="88">
        <v>230.77</v>
      </c>
      <c r="F6" s="85">
        <f ca="1">IFERROR(H6*G6+E6,0)</f>
        <v>373.07749999999999</v>
      </c>
      <c r="G6" s="85">
        <f>IFERROR((D6-E6)/I6,0)</f>
        <v>71.153750000000002</v>
      </c>
      <c r="H6" s="86">
        <f ca="1">IFERROR(DATEDIF(B6,TODAY(),"M")+1,0)</f>
        <v>2</v>
      </c>
      <c r="I6" s="86">
        <f>DATEDIF(B6,C6,"M")+1</f>
        <v>8</v>
      </c>
      <c r="J6" s="86">
        <f t="shared" ca="1" si="0"/>
        <v>38</v>
      </c>
      <c r="K6" s="85" t="b">
        <f t="shared" ca="1" si="2"/>
        <v>1</v>
      </c>
      <c r="L6" s="86" t="b">
        <f t="shared" ca="1" si="1"/>
        <v>0</v>
      </c>
      <c r="M6" s="83"/>
      <c r="N6" s="88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  <row r="7" spans="1:27" ht="12.75">
      <c r="A7" s="97" t="s">
        <v>114</v>
      </c>
      <c r="B7" s="87">
        <v>46082</v>
      </c>
      <c r="C7" s="87">
        <v>46143</v>
      </c>
      <c r="D7" s="88">
        <v>2500</v>
      </c>
      <c r="E7" s="88">
        <v>500</v>
      </c>
      <c r="F7" s="85">
        <f ca="1">IFERROR(H7*G7+E7,0)</f>
        <v>500</v>
      </c>
      <c r="G7" s="85">
        <f>IFERROR((D7-E7)/I7,0)</f>
        <v>666.66666666666663</v>
      </c>
      <c r="H7" s="86">
        <f ca="1">IFERROR(DATEDIF(B7,TODAY(),"M")+1,0)</f>
        <v>0</v>
      </c>
      <c r="I7" s="86">
        <f>DATEDIF(B7,C7,"M")+1</f>
        <v>3</v>
      </c>
      <c r="J7" s="86">
        <f t="shared" ca="1" si="0"/>
        <v>-52</v>
      </c>
      <c r="K7" s="85" t="b">
        <f t="shared" ca="1" si="2"/>
        <v>0</v>
      </c>
      <c r="L7" s="86" t="b">
        <f t="shared" ca="1" si="1"/>
        <v>0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</row>
    <row r="8" spans="1:27" ht="12.75">
      <c r="A8" s="97" t="s">
        <v>115</v>
      </c>
      <c r="B8" s="87">
        <v>46082</v>
      </c>
      <c r="C8" s="87">
        <v>46266</v>
      </c>
      <c r="D8" s="88">
        <v>800</v>
      </c>
      <c r="E8" s="88">
        <v>0</v>
      </c>
      <c r="F8" s="85">
        <f ca="1">IFERROR(H8*G8+E8,0)</f>
        <v>0</v>
      </c>
      <c r="G8" s="85">
        <f>IFERROR((D8-E8)/I8,0)</f>
        <v>114.28571428571429</v>
      </c>
      <c r="H8" s="86">
        <f ca="1">IFERROR(DATEDIF(B8,TODAY(),"M")+1,0)</f>
        <v>0</v>
      </c>
      <c r="I8" s="86">
        <f>DATEDIF(B8,C8,"M")+1</f>
        <v>7</v>
      </c>
      <c r="J8" s="86">
        <f t="shared" ref="J8:J10" ca="1" si="4">IFERROR(DATEDIF(B8,TODAY(),"D"),DATEDIF(TODAY(),B8,"D")*-1)</f>
        <v>-52</v>
      </c>
      <c r="K8" s="85" t="b">
        <f t="shared" ca="1" si="2"/>
        <v>0</v>
      </c>
      <c r="L8" s="86" t="b">
        <f t="shared" ref="L8:L10" ca="1" si="5">IFERROR(DATEDIF(C8,TODAY(),"D")&gt;=0,FALSE)</f>
        <v>0</v>
      </c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</row>
    <row r="9" spans="1:27" ht="12.75">
      <c r="A9" s="97" t="s">
        <v>116</v>
      </c>
      <c r="B9" s="87">
        <v>46174</v>
      </c>
      <c r="C9" s="87">
        <v>46357</v>
      </c>
      <c r="D9" s="88">
        <v>1500</v>
      </c>
      <c r="E9" s="88">
        <v>0</v>
      </c>
      <c r="F9" s="85">
        <f ca="1">IFERROR(H9*G9+E9,0)</f>
        <v>0</v>
      </c>
      <c r="G9" s="85">
        <f>IFERROR((D9-E9)/I9,0)</f>
        <v>214.28571428571428</v>
      </c>
      <c r="H9" s="86">
        <f ca="1">IFERROR(DATEDIF(B9,TODAY(),"M")+1,0)</f>
        <v>0</v>
      </c>
      <c r="I9" s="86">
        <f>DATEDIF(B9,C9,"M")+1</f>
        <v>7</v>
      </c>
      <c r="J9" s="86">
        <f t="shared" ca="1" si="4"/>
        <v>-144</v>
      </c>
      <c r="K9" s="85" t="b">
        <f t="shared" ca="1" si="2"/>
        <v>0</v>
      </c>
      <c r="L9" s="86" t="b">
        <f t="shared" ca="1" si="5"/>
        <v>0</v>
      </c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 spans="1:27" ht="12.75">
      <c r="A10" s="97" t="s">
        <v>117</v>
      </c>
      <c r="B10" s="87">
        <v>46388</v>
      </c>
      <c r="C10" s="87">
        <v>46539</v>
      </c>
      <c r="D10" s="88">
        <v>4000</v>
      </c>
      <c r="E10" s="88">
        <v>0</v>
      </c>
      <c r="F10" s="85">
        <f ca="1">IFERROR(H10*G10+E10,0)</f>
        <v>0</v>
      </c>
      <c r="G10" s="85">
        <f>IFERROR((D10-E10)/I10,0)</f>
        <v>666.66666666666663</v>
      </c>
      <c r="H10" s="86">
        <f ca="1">IFERROR(DATEDIF(B10,TODAY(),"M")+1,0)</f>
        <v>0</v>
      </c>
      <c r="I10" s="86">
        <f>DATEDIF(B10,C10,"M")+1</f>
        <v>6</v>
      </c>
      <c r="J10" s="86">
        <f t="shared" ca="1" si="4"/>
        <v>-358</v>
      </c>
      <c r="K10" s="85" t="b">
        <f t="shared" ca="1" si="2"/>
        <v>0</v>
      </c>
      <c r="L10" s="86" t="b">
        <f t="shared" ca="1" si="5"/>
        <v>0</v>
      </c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spans="1:27" ht="12.75">
      <c r="A11" s="97" t="s">
        <v>118</v>
      </c>
      <c r="B11" s="87">
        <v>46388</v>
      </c>
      <c r="C11" s="87">
        <v>47484</v>
      </c>
      <c r="D11" s="88">
        <v>20000</v>
      </c>
      <c r="E11" s="88">
        <v>0</v>
      </c>
      <c r="F11" s="85">
        <f ca="1">IFERROR(H11*G11+E11,0)</f>
        <v>0</v>
      </c>
      <c r="G11" s="85">
        <f>IFERROR((D11-E11)/I11,0)</f>
        <v>540.54054054054052</v>
      </c>
      <c r="H11" s="86">
        <f ca="1">IFERROR(DATEDIF(B11,TODAY(),"M")+1,0)</f>
        <v>0</v>
      </c>
      <c r="I11" s="86">
        <f>DATEDIF(B11,C11,"M")+1</f>
        <v>37</v>
      </c>
      <c r="J11" s="86">
        <f t="shared" ca="1" si="0"/>
        <v>-358</v>
      </c>
      <c r="K11" s="85" t="b">
        <f t="shared" ca="1" si="2"/>
        <v>0</v>
      </c>
      <c r="L11" s="86" t="b">
        <f t="shared" ca="1" si="1"/>
        <v>0</v>
      </c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</row>
    <row r="12" spans="1:27" ht="12.75">
      <c r="A12" s="97"/>
      <c r="B12" s="87">
        <v>46508</v>
      </c>
      <c r="C12" s="87">
        <v>47484</v>
      </c>
      <c r="D12" s="88">
        <v>0</v>
      </c>
      <c r="E12" s="88">
        <v>0</v>
      </c>
      <c r="F12" s="85">
        <f ca="1">IFERROR(H12*G12+E12,0)</f>
        <v>0</v>
      </c>
      <c r="G12" s="85">
        <f>IFERROR((D12-E12)/I12,0)</f>
        <v>0</v>
      </c>
      <c r="H12" s="86">
        <f ca="1">IFERROR(DATEDIF(B12,TODAY(),"M")+1,0)</f>
        <v>0</v>
      </c>
      <c r="I12" s="86">
        <f>DATEDIF(B12,C12,"M")+1</f>
        <v>33</v>
      </c>
      <c r="J12" s="86">
        <f t="shared" ca="1" si="0"/>
        <v>-478</v>
      </c>
      <c r="K12" s="85" t="b">
        <f t="shared" ca="1" si="2"/>
        <v>0</v>
      </c>
      <c r="L12" s="86" t="b">
        <f t="shared" ca="1" si="1"/>
        <v>0</v>
      </c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</row>
    <row r="13" spans="1:27" ht="12.75">
      <c r="A13" s="98" t="s">
        <v>119</v>
      </c>
      <c r="B13" s="87">
        <v>46539</v>
      </c>
      <c r="C13" s="87">
        <v>46905</v>
      </c>
      <c r="D13" s="88">
        <v>1000</v>
      </c>
      <c r="E13" s="88">
        <v>0</v>
      </c>
      <c r="F13" s="85">
        <f ca="1">IFERROR(H13*G13+E13,0)</f>
        <v>0</v>
      </c>
      <c r="G13" s="85">
        <f>IFERROR((D13-E13)/I13,0)</f>
        <v>76.92307692307692</v>
      </c>
      <c r="H13" s="86">
        <f ca="1">IFERROR(DATEDIF(B13,TODAY(),"M")+1,0)</f>
        <v>0</v>
      </c>
      <c r="I13" s="86">
        <f>DATEDIF(B13,C13,"M")+1</f>
        <v>13</v>
      </c>
      <c r="J13" s="86">
        <f t="shared" ca="1" si="0"/>
        <v>-509</v>
      </c>
      <c r="K13" s="85" t="b">
        <f t="shared" ca="1" si="2"/>
        <v>0</v>
      </c>
      <c r="L13" s="86" t="b">
        <f t="shared" ca="1" si="1"/>
        <v>0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 spans="1:27" s="96" customFormat="1" ht="13.5">
      <c r="A14" s="91"/>
      <c r="B14" s="92"/>
      <c r="C14" s="93"/>
      <c r="D14" s="94">
        <f>SUM(D2:D13)</f>
        <v>42977.18</v>
      </c>
      <c r="E14" s="94">
        <f>SUM(E2:E13)</f>
        <v>1993.53</v>
      </c>
      <c r="F14" s="94">
        <f ca="1">SUM(F2:F13)</f>
        <v>6107.4003571428575</v>
      </c>
      <c r="G14" s="94">
        <f ca="1">SUMIFS(G2:G13,K2:K13,"=TRUE",L2:L13,"=FALSE")</f>
        <v>797.34422619047609</v>
      </c>
      <c r="H14" s="92"/>
      <c r="I14" s="92"/>
      <c r="J14" s="92"/>
      <c r="K14" s="92"/>
      <c r="L14" s="92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</row>
    <row r="15" spans="1:27" ht="12.75">
      <c r="A15" s="83"/>
      <c r="B15" s="83"/>
      <c r="C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 spans="1:27" ht="12.75">
      <c r="A16" s="83"/>
      <c r="B16" s="83"/>
      <c r="C16" s="83"/>
      <c r="D16" s="88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 spans="1:27" ht="12.75">
      <c r="B17" s="83"/>
      <c r="C17" s="83"/>
      <c r="D17" s="88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</row>
    <row r="18" spans="1:27" ht="12.75">
      <c r="A18" s="83"/>
      <c r="B18" s="83"/>
      <c r="C18" s="83"/>
      <c r="D18" s="88"/>
      <c r="E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</row>
    <row r="19" spans="1:27" ht="12.75">
      <c r="A19" s="83"/>
      <c r="B19" s="83"/>
      <c r="C19" s="83"/>
      <c r="D19" s="88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</row>
    <row r="20" spans="1:27" ht="12.75">
      <c r="A20" s="83"/>
      <c r="B20" s="83"/>
      <c r="C20" s="83"/>
      <c r="D20" s="88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</row>
    <row r="21" spans="1:27" ht="12.75">
      <c r="A21" s="83"/>
      <c r="B21" s="83"/>
      <c r="C21" s="83"/>
      <c r="D21" s="88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 spans="1:27" ht="12.75">
      <c r="A22" s="83"/>
      <c r="B22" s="83"/>
      <c r="C22" s="83"/>
      <c r="D22" s="88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</row>
    <row r="23" spans="1:27" ht="12.75">
      <c r="A23" s="83"/>
      <c r="B23" s="83"/>
      <c r="C23" s="83"/>
      <c r="D23" s="88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</row>
    <row r="24" spans="1:27" ht="12.75">
      <c r="A24" s="83"/>
      <c r="B24" s="83"/>
      <c r="C24" s="83"/>
      <c r="D24" s="88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</row>
    <row r="25" spans="1:27" ht="12.75">
      <c r="A25" s="83"/>
      <c r="B25" s="83"/>
      <c r="C25" s="83"/>
      <c r="D25" s="88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</row>
    <row r="26" spans="1:27" ht="12.75">
      <c r="A26" s="83"/>
      <c r="B26" s="83"/>
      <c r="C26" s="83"/>
      <c r="D26" s="88"/>
      <c r="E26" s="88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</row>
    <row r="27" spans="1:27" ht="12.75">
      <c r="A27" s="83"/>
      <c r="B27" s="83"/>
      <c r="C27" s="83"/>
      <c r="D27" s="88"/>
      <c r="E27" s="88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</row>
    <row r="28" spans="1:27" ht="12.75">
      <c r="A28" s="83"/>
      <c r="B28" s="83"/>
      <c r="C28" s="83"/>
      <c r="D28" s="88"/>
      <c r="E28" s="88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</row>
    <row r="29" spans="1:27" ht="12.75">
      <c r="A29" s="83"/>
      <c r="B29" s="83"/>
      <c r="C29" s="83"/>
      <c r="D29" s="88"/>
      <c r="E29" s="88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</row>
    <row r="30" spans="1:27" ht="12.75">
      <c r="A30" s="83"/>
      <c r="B30" s="83"/>
      <c r="C30" s="83"/>
      <c r="D30" s="88"/>
      <c r="E30" s="88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</row>
    <row r="31" spans="1:27" ht="12.75">
      <c r="A31" s="83"/>
      <c r="B31" s="83"/>
      <c r="C31" s="83"/>
      <c r="D31" s="88"/>
      <c r="E31" s="88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</row>
    <row r="32" spans="1:27" ht="12.75">
      <c r="A32" s="83"/>
      <c r="B32" s="83"/>
      <c r="C32" s="83"/>
      <c r="D32" s="88"/>
      <c r="E32" s="88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</row>
    <row r="33" spans="1:27" ht="12.75">
      <c r="A33" s="83"/>
      <c r="B33" s="83"/>
      <c r="C33" s="83"/>
      <c r="D33" s="88"/>
      <c r="E33" s="88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</row>
    <row r="34" spans="1:27" ht="12.75">
      <c r="A34" s="83"/>
      <c r="B34" s="83"/>
      <c r="C34" s="83"/>
      <c r="D34" s="88"/>
      <c r="E34" s="88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</row>
    <row r="35" spans="1:27" ht="12.75">
      <c r="A35" s="83"/>
      <c r="B35" s="83"/>
      <c r="C35" s="83"/>
      <c r="D35" s="83"/>
      <c r="E35" s="88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</row>
    <row r="36" spans="1:27" ht="12.75">
      <c r="A36" s="83"/>
      <c r="B36" s="83"/>
      <c r="C36" s="83"/>
      <c r="D36" s="83"/>
      <c r="E36" s="88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</row>
    <row r="37" spans="1:27" ht="12.75">
      <c r="A37" s="83"/>
      <c r="B37" s="83"/>
      <c r="C37" s="83"/>
      <c r="D37" s="83"/>
      <c r="E37" s="88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</row>
    <row r="38" spans="1:27" ht="12.75">
      <c r="A38" s="83"/>
      <c r="B38" s="83"/>
      <c r="C38" s="83"/>
      <c r="D38" s="83"/>
      <c r="E38" s="88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</row>
    <row r="39" spans="1:27" ht="12.75">
      <c r="A39" s="83"/>
      <c r="B39" s="83"/>
      <c r="C39" s="83"/>
      <c r="D39" s="83"/>
      <c r="E39" s="88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</row>
    <row r="40" spans="1:27" ht="12.75">
      <c r="A40" s="83"/>
      <c r="B40" s="83"/>
      <c r="C40" s="83"/>
      <c r="D40" s="83"/>
      <c r="E40" s="88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</row>
    <row r="41" spans="1:27" ht="12.75">
      <c r="A41" s="83"/>
      <c r="B41" s="83"/>
      <c r="C41" s="83"/>
      <c r="D41" s="83"/>
      <c r="E41" s="88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</row>
    <row r="42" spans="1:27" ht="12.75">
      <c r="A42" s="83"/>
      <c r="B42" s="83"/>
      <c r="C42" s="83"/>
      <c r="D42" s="83"/>
      <c r="E42" s="88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 spans="1:27" ht="12.75">
      <c r="A43" s="83"/>
      <c r="B43" s="83"/>
      <c r="C43" s="83"/>
      <c r="D43" s="83"/>
      <c r="E43" s="88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 spans="1:27" ht="12.75">
      <c r="A44" s="83"/>
      <c r="B44" s="83"/>
      <c r="C44" s="83"/>
      <c r="D44" s="83"/>
      <c r="E44" s="88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</row>
    <row r="45" spans="1:27" ht="12.75">
      <c r="A45" s="83"/>
      <c r="B45" s="83"/>
      <c r="C45" s="83"/>
      <c r="D45" s="83"/>
      <c r="E45" s="88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 spans="1:27" ht="12.75">
      <c r="A46" s="83"/>
      <c r="B46" s="83"/>
      <c r="C46" s="83"/>
      <c r="D46" s="83"/>
      <c r="E46" s="88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 spans="1:27" ht="12.75">
      <c r="A47" s="83"/>
      <c r="B47" s="83"/>
      <c r="C47" s="83"/>
      <c r="D47" s="83"/>
      <c r="E47" s="88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</row>
    <row r="48" spans="1:27" ht="12.75">
      <c r="A48" s="83"/>
      <c r="B48" s="83"/>
      <c r="C48" s="83"/>
      <c r="D48" s="83"/>
      <c r="E48" s="88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</row>
    <row r="49" spans="1:27" ht="12.75">
      <c r="A49" s="83"/>
      <c r="B49" s="83"/>
      <c r="C49" s="83"/>
      <c r="D49" s="83"/>
      <c r="E49" s="88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</row>
    <row r="50" spans="1:27" ht="12.7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</row>
    <row r="51" spans="1:27" ht="12.75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</row>
    <row r="52" spans="1:27" ht="12.75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</row>
    <row r="53" spans="1:27" ht="12.75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 spans="1:27" ht="12.7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 spans="1:27" ht="12.7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</row>
    <row r="56" spans="1:27" ht="12.7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</row>
    <row r="57" spans="1:27" ht="12.75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</row>
    <row r="58" spans="1:27" ht="12.75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</row>
    <row r="59" spans="1:27" ht="12.75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 spans="1:27" ht="12.75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 spans="1:27" ht="12.75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 spans="1:27" ht="12.75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</row>
    <row r="63" spans="1:27" ht="12.75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</row>
    <row r="64" spans="1:27" ht="12.75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</row>
    <row r="65" spans="1:27" ht="12.7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</row>
    <row r="66" spans="1:27" ht="12.75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</row>
    <row r="67" spans="1:27" ht="12.75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</row>
    <row r="68" spans="1:27" ht="12.75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</row>
    <row r="69" spans="1:27" ht="12.7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</row>
    <row r="70" spans="1:27" ht="12.75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</row>
    <row r="71" spans="1:27" ht="12.75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</row>
    <row r="72" spans="1:27" ht="12.75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</row>
    <row r="73" spans="1:27" ht="12.75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 spans="1:27" ht="12.75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 spans="1:27" ht="12.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</row>
    <row r="76" spans="1:27" ht="12.75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</row>
    <row r="77" spans="1:27" ht="12.75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</row>
    <row r="78" spans="1:27" ht="12.75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</row>
    <row r="79" spans="1:27" ht="12.75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</row>
    <row r="80" spans="1:27" ht="12.75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</row>
    <row r="81" spans="1:27" ht="12.75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</row>
    <row r="82" spans="1:27" ht="12.75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</row>
    <row r="83" spans="1:27" ht="12.75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</row>
    <row r="84" spans="1:27" ht="12.75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</row>
    <row r="85" spans="1:27" ht="12.7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</row>
    <row r="86" spans="1:27" ht="12.75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</row>
    <row r="87" spans="1:27" ht="12.75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</row>
    <row r="88" spans="1:27" ht="12.75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</row>
    <row r="89" spans="1:27" ht="12.75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</row>
    <row r="90" spans="1:27" ht="12.75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</row>
    <row r="91" spans="1:27" ht="12.75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</row>
    <row r="92" spans="1:27" ht="12.75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</row>
    <row r="93" spans="1:27" ht="12.75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</row>
    <row r="94" spans="1:27" ht="12.75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</row>
    <row r="95" spans="1:27" ht="12.7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</row>
    <row r="96" spans="1:27" ht="12.75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</row>
    <row r="97" spans="1:27" ht="12.75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</row>
    <row r="98" spans="1:27" ht="12.75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</row>
    <row r="99" spans="1:27" ht="12.75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</row>
    <row r="100" spans="1:27" ht="12.75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</row>
    <row r="101" spans="1:27" ht="12.75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</row>
    <row r="102" spans="1:27" ht="12.75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</row>
    <row r="103" spans="1:27" ht="12.75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</row>
    <row r="104" spans="1:27" ht="12.75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 spans="1:27" ht="12.7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</row>
    <row r="106" spans="1:27" ht="12.75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</row>
    <row r="107" spans="1:27" ht="12.75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</row>
    <row r="108" spans="1:27" ht="12.75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</row>
    <row r="109" spans="1:27" ht="12.75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</row>
    <row r="110" spans="1:27" ht="12.75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</row>
    <row r="111" spans="1:27" ht="12.75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</row>
    <row r="112" spans="1:27" ht="12.75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</row>
    <row r="113" spans="1:27" ht="12.75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</row>
    <row r="114" spans="1:27" ht="12.75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</row>
    <row r="115" spans="1:27" ht="12.7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</row>
    <row r="116" spans="1:27" ht="12.75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</row>
    <row r="117" spans="1:27" ht="12.75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</row>
    <row r="118" spans="1:27" ht="12.75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 spans="1:27" ht="12.75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</row>
    <row r="120" spans="1:27" ht="12.75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</row>
    <row r="121" spans="1:27" ht="12.75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</row>
    <row r="122" spans="1:27" ht="12.75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</row>
    <row r="123" spans="1:27" ht="12.7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</row>
    <row r="124" spans="1:27" ht="12.75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</row>
    <row r="125" spans="1:27" ht="12.7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</row>
    <row r="126" spans="1:27" ht="12.75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</row>
    <row r="127" spans="1:27" ht="12.75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</row>
    <row r="128" spans="1:27" ht="12.75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</row>
    <row r="129" spans="1:27" ht="12.75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</row>
    <row r="130" spans="1:27" ht="12.75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</row>
    <row r="131" spans="1:27" ht="12.7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</row>
    <row r="132" spans="1:27" ht="12.7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</row>
    <row r="133" spans="1:27" ht="12.7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</row>
    <row r="134" spans="1:27" ht="12.7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</row>
    <row r="135" spans="1:27" ht="12.7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</row>
    <row r="136" spans="1:27" ht="12.7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</row>
    <row r="137" spans="1:27" ht="12.7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</row>
    <row r="138" spans="1:27" ht="12.7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</row>
    <row r="139" spans="1:27" ht="12.7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</row>
    <row r="140" spans="1:27" ht="12.7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</row>
    <row r="141" spans="1:27" ht="12.7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</row>
    <row r="142" spans="1:27" ht="12.7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</row>
    <row r="143" spans="1:27" ht="12.7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</row>
    <row r="144" spans="1:27" ht="12.7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</row>
    <row r="145" spans="1:27" ht="12.7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</row>
    <row r="146" spans="1:27" ht="12.7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</row>
    <row r="147" spans="1:27" ht="12.7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</row>
    <row r="148" spans="1:27" ht="12.7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</row>
    <row r="149" spans="1:27" ht="12.7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</row>
    <row r="150" spans="1:27" ht="12.7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</row>
    <row r="151" spans="1:27" ht="12.7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</row>
    <row r="152" spans="1:27" ht="12.7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</row>
    <row r="153" spans="1:27" ht="12.7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</row>
    <row r="154" spans="1:27" ht="12.7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</row>
    <row r="155" spans="1:27" ht="12.7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</row>
    <row r="156" spans="1:27" ht="12.7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</row>
    <row r="157" spans="1:27" ht="12.7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</row>
    <row r="158" spans="1:27" ht="12.7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</row>
    <row r="159" spans="1:27" ht="12.7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</row>
    <row r="160" spans="1:27" ht="12.7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 spans="1:27" ht="12.7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</row>
    <row r="162" spans="1:27" ht="12.7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</row>
    <row r="163" spans="1:27" ht="12.7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</row>
    <row r="164" spans="1:27" ht="12.7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</row>
    <row r="165" spans="1:27" ht="12.7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</row>
    <row r="166" spans="1:27" ht="12.7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</row>
    <row r="167" spans="1:27" ht="12.7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</row>
    <row r="168" spans="1:27" ht="12.7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</row>
    <row r="169" spans="1:27" ht="12.7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</row>
    <row r="170" spans="1:27" ht="12.7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</row>
    <row r="171" spans="1:27" ht="12.7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</row>
    <row r="172" spans="1:27" ht="12.7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</row>
    <row r="173" spans="1:27" ht="12.7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</row>
    <row r="174" spans="1:27" ht="12.7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</row>
    <row r="175" spans="1:27" ht="12.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</row>
    <row r="176" spans="1:27" ht="12.7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</row>
    <row r="177" spans="1:27" ht="12.7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</row>
    <row r="178" spans="1:27" ht="12.7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</row>
    <row r="179" spans="1:27" ht="12.7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</row>
    <row r="180" spans="1:27" ht="12.7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</row>
    <row r="181" spans="1:27" ht="12.7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</row>
    <row r="182" spans="1:27" ht="12.7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</row>
    <row r="183" spans="1:27" ht="12.7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</row>
    <row r="184" spans="1:27" ht="12.7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</row>
    <row r="185" spans="1:27" ht="12.7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</row>
    <row r="186" spans="1:27" ht="12.7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</row>
    <row r="187" spans="1:27" ht="12.7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</row>
    <row r="188" spans="1:27" ht="12.7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 spans="1:27" ht="12.7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</row>
    <row r="190" spans="1:27" ht="12.7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</row>
    <row r="191" spans="1:27" ht="12.7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</row>
    <row r="192" spans="1:27" ht="12.7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</row>
    <row r="193" spans="1:27" ht="12.7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</row>
    <row r="194" spans="1:27" ht="12.7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</row>
    <row r="195" spans="1:27" ht="12.7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</row>
    <row r="196" spans="1:27" ht="12.7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</row>
    <row r="197" spans="1:27" ht="12.7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</row>
    <row r="198" spans="1:27" ht="12.7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</row>
    <row r="199" spans="1:27" ht="12.7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</row>
    <row r="200" spans="1:27" ht="12.7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</row>
    <row r="201" spans="1:27" ht="12.7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</row>
    <row r="202" spans="1:27" ht="12.7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</row>
    <row r="203" spans="1:27" ht="12.7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</row>
    <row r="204" spans="1:27" ht="12.7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</row>
    <row r="205" spans="1:27" ht="12.7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</row>
    <row r="206" spans="1:27" ht="12.7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</row>
    <row r="207" spans="1:27" ht="12.7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</row>
    <row r="208" spans="1:27" ht="12.7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</row>
    <row r="209" spans="1:27" ht="12.7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</row>
    <row r="210" spans="1:27" ht="12.7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</row>
    <row r="211" spans="1:27" ht="12.7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</row>
    <row r="212" spans="1:27" ht="12.7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</row>
    <row r="213" spans="1:27" ht="12.7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</row>
    <row r="214" spans="1:27" ht="12.7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</row>
    <row r="215" spans="1:27" ht="12.7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</row>
    <row r="216" spans="1:27" ht="12.7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</row>
    <row r="217" spans="1:27" ht="12.7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</row>
    <row r="218" spans="1:27" ht="12.7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</row>
    <row r="219" spans="1:27" ht="12.7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</row>
    <row r="220" spans="1:27" ht="12.7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</row>
    <row r="221" spans="1:27" ht="12.7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</row>
    <row r="222" spans="1:27" ht="12.7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</row>
    <row r="223" spans="1:27" ht="12.7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</row>
    <row r="224" spans="1:27" ht="12.7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</row>
    <row r="225" spans="1:27" ht="12.7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</row>
    <row r="226" spans="1:27" ht="12.7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</row>
    <row r="227" spans="1:27" ht="12.7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</row>
    <row r="228" spans="1:27" ht="12.7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</row>
    <row r="229" spans="1:27" ht="12.7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</row>
    <row r="230" spans="1:27" ht="12.7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</row>
    <row r="231" spans="1:27" ht="12.7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</row>
    <row r="232" spans="1:27" ht="12.7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</row>
    <row r="233" spans="1:27" ht="12.7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</row>
    <row r="234" spans="1:27" ht="12.7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</row>
    <row r="235" spans="1:27" ht="12.7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</row>
    <row r="236" spans="1:27" ht="12.7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</row>
    <row r="237" spans="1:27" ht="12.7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</row>
    <row r="238" spans="1:27" ht="12.7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</row>
    <row r="239" spans="1:27" ht="12.7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</row>
    <row r="240" spans="1:27" ht="12.75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</row>
    <row r="241" spans="1:27" ht="12.75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</row>
    <row r="242" spans="1:27" ht="12.75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</row>
    <row r="243" spans="1:27" ht="12.7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</row>
    <row r="244" spans="1:27" ht="12.75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</row>
    <row r="245" spans="1:27" ht="12.7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</row>
    <row r="246" spans="1:27" ht="12.75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</row>
    <row r="247" spans="1:27" ht="12.75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</row>
    <row r="248" spans="1:27" ht="12.75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</row>
    <row r="249" spans="1:27" ht="12.75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</row>
    <row r="250" spans="1:27" ht="12.75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</row>
    <row r="251" spans="1:27" ht="12.75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</row>
    <row r="252" spans="1:27" ht="12.75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</row>
    <row r="253" spans="1:27" ht="12.75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</row>
    <row r="254" spans="1:27" ht="12.75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</row>
    <row r="255" spans="1:27" ht="12.7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</row>
    <row r="256" spans="1:27" ht="12.75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</row>
    <row r="257" spans="1:27" ht="12.75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</row>
    <row r="258" spans="1:27" ht="12.75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</row>
    <row r="259" spans="1:27" ht="12.75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</row>
    <row r="260" spans="1:27" ht="12.75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</row>
    <row r="261" spans="1:27" ht="12.75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</row>
    <row r="262" spans="1:27" ht="12.75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</row>
    <row r="263" spans="1:27" ht="12.75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</row>
    <row r="264" spans="1:27" ht="12.75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</row>
    <row r="265" spans="1:27" ht="12.7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</row>
    <row r="266" spans="1:27" ht="12.75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</row>
    <row r="267" spans="1:27" ht="12.75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</row>
    <row r="268" spans="1:27" ht="12.75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</row>
    <row r="269" spans="1:27" ht="12.75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</row>
    <row r="270" spans="1:27" ht="12.75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</row>
    <row r="271" spans="1:27" ht="12.75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</row>
    <row r="272" spans="1:27" ht="12.75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</row>
    <row r="273" spans="1:27" ht="12.75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</row>
    <row r="274" spans="1:27" ht="12.75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</row>
    <row r="275" spans="1:27" ht="12.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</row>
    <row r="276" spans="1:27" ht="12.75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</row>
    <row r="277" spans="1:27" ht="12.75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</row>
    <row r="278" spans="1:27" ht="12.75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</row>
    <row r="279" spans="1:27" ht="12.75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</row>
    <row r="280" spans="1:27" ht="12.7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</row>
    <row r="281" spans="1:27" ht="12.75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</row>
    <row r="282" spans="1:27" ht="12.75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</row>
    <row r="283" spans="1:27" ht="12.75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</row>
    <row r="284" spans="1:27" ht="12.75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</row>
    <row r="285" spans="1:27" ht="12.7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</row>
    <row r="286" spans="1:27" ht="12.75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</row>
    <row r="287" spans="1:27" ht="12.75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</row>
    <row r="288" spans="1:27" ht="12.75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</row>
    <row r="289" spans="1:27" ht="12.75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</row>
    <row r="290" spans="1:27" ht="12.75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</row>
    <row r="291" spans="1:27" ht="12.75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</row>
    <row r="292" spans="1:27" ht="12.75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</row>
    <row r="293" spans="1:27" ht="12.75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</row>
    <row r="294" spans="1:27" ht="12.75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</row>
    <row r="295" spans="1:27" ht="12.7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</row>
    <row r="296" spans="1:27" ht="12.75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</row>
    <row r="297" spans="1:27" ht="12.75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</row>
    <row r="298" spans="1:27" ht="12.75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</row>
    <row r="299" spans="1:27" ht="12.75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</row>
    <row r="300" spans="1:27" ht="12.75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</row>
    <row r="301" spans="1:27" ht="12.75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</row>
    <row r="302" spans="1:27" ht="12.75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</row>
    <row r="303" spans="1:27" ht="12.75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</row>
    <row r="304" spans="1:27" ht="12.75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</row>
    <row r="305" spans="1:27" ht="12.7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</row>
    <row r="306" spans="1:27" ht="12.75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</row>
    <row r="307" spans="1:27" ht="12.75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</row>
    <row r="308" spans="1:27" ht="12.75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</row>
    <row r="309" spans="1:27" ht="12.75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</row>
    <row r="310" spans="1:27" ht="12.75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</row>
    <row r="311" spans="1:27" ht="12.75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</row>
    <row r="312" spans="1:27" ht="12.75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</row>
    <row r="313" spans="1:27" ht="12.75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</row>
    <row r="314" spans="1:27" ht="12.75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</row>
    <row r="315" spans="1:27" ht="12.7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</row>
    <row r="316" spans="1:27" ht="12.75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</row>
    <row r="317" spans="1:27" ht="12.75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</row>
    <row r="318" spans="1:27" ht="12.75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</row>
    <row r="319" spans="1:27" ht="12.75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</row>
    <row r="320" spans="1:27" ht="12.75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</row>
    <row r="321" spans="1:27" ht="12.75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</row>
    <row r="322" spans="1:27" ht="12.75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</row>
    <row r="323" spans="1:27" ht="12.75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</row>
    <row r="324" spans="1:27" ht="12.75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</row>
    <row r="325" spans="1:27" ht="12.7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</row>
    <row r="326" spans="1:27" ht="12.75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</row>
    <row r="327" spans="1:27" ht="12.75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</row>
    <row r="328" spans="1:27" ht="12.75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</row>
    <row r="329" spans="1:27" ht="12.75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</row>
    <row r="330" spans="1:27" ht="12.75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</row>
    <row r="331" spans="1:27" ht="12.75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</row>
    <row r="332" spans="1:27" ht="12.75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</row>
    <row r="333" spans="1:27" ht="12.75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</row>
    <row r="334" spans="1:27" ht="12.75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</row>
    <row r="335" spans="1:27" ht="12.7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</row>
    <row r="336" spans="1:27" ht="12.75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</row>
    <row r="337" spans="1:27" ht="12.75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</row>
    <row r="338" spans="1:27" ht="12.75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</row>
    <row r="339" spans="1:27" ht="12.75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</row>
    <row r="340" spans="1:27" ht="12.75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</row>
    <row r="341" spans="1:27" ht="12.75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</row>
    <row r="342" spans="1:27" ht="12.75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</row>
    <row r="343" spans="1:27" ht="12.75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</row>
    <row r="344" spans="1:27" ht="12.75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</row>
    <row r="345" spans="1:27" ht="12.7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</row>
    <row r="346" spans="1:27" ht="12.75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</row>
    <row r="347" spans="1:27" ht="12.75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</row>
    <row r="348" spans="1:27" ht="12.75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</row>
    <row r="349" spans="1:27" ht="12.75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</row>
    <row r="350" spans="1:27" ht="12.75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</row>
    <row r="351" spans="1:27" ht="12.75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</row>
    <row r="352" spans="1:27" ht="12.75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</row>
    <row r="353" spans="1:27" ht="12.75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</row>
    <row r="354" spans="1:27" ht="12.75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</row>
    <row r="355" spans="1:27" ht="12.7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</row>
    <row r="356" spans="1:27" ht="12.75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</row>
    <row r="357" spans="1:27" ht="12.75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</row>
    <row r="358" spans="1:27" ht="12.75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</row>
    <row r="359" spans="1:27" ht="12.75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</row>
    <row r="360" spans="1:27" ht="12.75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</row>
    <row r="361" spans="1:27" ht="12.75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</row>
    <row r="362" spans="1:27" ht="12.75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</row>
    <row r="363" spans="1:27" ht="12.75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</row>
    <row r="364" spans="1:27" ht="12.75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</row>
    <row r="365" spans="1:27" ht="12.7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</row>
    <row r="366" spans="1:27" ht="12.75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</row>
    <row r="367" spans="1:27" ht="12.75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</row>
    <row r="368" spans="1:27" ht="12.75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</row>
    <row r="369" spans="1:27" ht="12.75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</row>
    <row r="370" spans="1:27" ht="12.75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</row>
    <row r="371" spans="1:27" ht="12.75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</row>
    <row r="372" spans="1:27" ht="12.75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</row>
    <row r="373" spans="1:27" ht="12.75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</row>
    <row r="374" spans="1:27" ht="12.75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</row>
    <row r="375" spans="1:27" ht="12.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</row>
    <row r="376" spans="1:27" ht="12.75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</row>
    <row r="377" spans="1:27" ht="12.75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</row>
    <row r="378" spans="1:27" ht="12.75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</row>
    <row r="379" spans="1:27" ht="12.75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</row>
    <row r="380" spans="1:27" ht="12.75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</row>
    <row r="381" spans="1:27" ht="12.75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</row>
    <row r="382" spans="1:27" ht="12.75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</row>
    <row r="383" spans="1:27" ht="12.75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</row>
    <row r="384" spans="1:27" ht="12.75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</row>
    <row r="385" spans="1:27" ht="12.7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</row>
    <row r="386" spans="1:27" ht="12.75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</row>
    <row r="387" spans="1:27" ht="12.75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</row>
    <row r="388" spans="1:27" ht="12.75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</row>
    <row r="389" spans="1:27" ht="12.75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</row>
    <row r="390" spans="1:27" ht="12.75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</row>
    <row r="391" spans="1:27" ht="12.75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</row>
    <row r="392" spans="1:27" ht="12.75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</row>
    <row r="393" spans="1:27" ht="12.75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</row>
    <row r="394" spans="1:27" ht="12.75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</row>
    <row r="395" spans="1:27" ht="12.7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</row>
    <row r="396" spans="1:27" ht="12.75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</row>
    <row r="397" spans="1:27" ht="12.75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</row>
    <row r="398" spans="1:27" ht="12.75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</row>
    <row r="399" spans="1:27" ht="12.75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</row>
    <row r="400" spans="1:27" ht="12.75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</row>
    <row r="401" spans="1:27" ht="12.75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</row>
    <row r="402" spans="1:27" ht="12.75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</row>
    <row r="403" spans="1:27" ht="12.75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</row>
    <row r="404" spans="1:27" ht="12.75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</row>
    <row r="405" spans="1:27" ht="12.7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</row>
    <row r="406" spans="1:27" ht="12.75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</row>
    <row r="407" spans="1:27" ht="12.75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</row>
    <row r="408" spans="1:27" ht="12.75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</row>
    <row r="409" spans="1:27" ht="12.75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</row>
    <row r="410" spans="1:27" ht="12.75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</row>
    <row r="411" spans="1:27" ht="12.75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</row>
    <row r="412" spans="1:27" ht="12.75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</row>
    <row r="413" spans="1:27" ht="12.75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</row>
    <row r="414" spans="1:27" ht="12.75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</row>
    <row r="415" spans="1:27" ht="12.7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</row>
    <row r="416" spans="1:27" ht="12.75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</row>
    <row r="417" spans="1:27" ht="12.75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</row>
    <row r="418" spans="1:27" ht="12.75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</row>
    <row r="419" spans="1:27" ht="12.75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</row>
    <row r="420" spans="1:27" ht="12.75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</row>
    <row r="421" spans="1:27" ht="12.75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</row>
    <row r="422" spans="1:27" ht="12.75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</row>
    <row r="423" spans="1:27" ht="12.75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</row>
    <row r="424" spans="1:27" ht="12.75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</row>
    <row r="425" spans="1:27" ht="12.7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</row>
    <row r="426" spans="1:27" ht="12.75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</row>
    <row r="427" spans="1:27" ht="12.75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</row>
    <row r="428" spans="1:27" ht="12.75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</row>
    <row r="429" spans="1:27" ht="12.75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</row>
    <row r="430" spans="1:27" ht="12.75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</row>
    <row r="431" spans="1:27" ht="12.75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</row>
    <row r="432" spans="1:27" ht="12.75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</row>
    <row r="433" spans="1:27" ht="12.75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</row>
    <row r="434" spans="1:27" ht="12.75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</row>
    <row r="435" spans="1:27" ht="12.7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</row>
    <row r="436" spans="1:27" ht="12.75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</row>
    <row r="437" spans="1:27" ht="12.75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</row>
    <row r="438" spans="1:27" ht="12.75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</row>
    <row r="439" spans="1:27" ht="12.75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</row>
    <row r="440" spans="1:27" ht="12.75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</row>
    <row r="441" spans="1:27" ht="12.75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</row>
    <row r="442" spans="1:27" ht="12.75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</row>
    <row r="443" spans="1:27" ht="12.75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</row>
    <row r="444" spans="1:27" ht="12.75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</row>
    <row r="445" spans="1:27" ht="12.7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</row>
    <row r="446" spans="1:27" ht="12.75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</row>
    <row r="447" spans="1:27" ht="12.75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</row>
    <row r="448" spans="1:27" ht="12.75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</row>
    <row r="449" spans="1:27" ht="12.75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</row>
    <row r="450" spans="1:27" ht="12.75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</row>
    <row r="451" spans="1:27" ht="12.75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</row>
    <row r="452" spans="1:27" ht="12.75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</row>
    <row r="453" spans="1:27" ht="12.75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</row>
    <row r="454" spans="1:27" ht="12.75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</row>
    <row r="455" spans="1:27" ht="12.7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</row>
    <row r="456" spans="1:27" ht="12.75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</row>
    <row r="457" spans="1:27" ht="12.75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</row>
    <row r="458" spans="1:27" ht="12.75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</row>
    <row r="459" spans="1:27" ht="12.75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</row>
    <row r="460" spans="1:27" ht="12.75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</row>
    <row r="461" spans="1:27" ht="12.75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</row>
    <row r="462" spans="1:27" ht="12.75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</row>
    <row r="463" spans="1:27" ht="12.75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</row>
    <row r="464" spans="1:27" ht="12.75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</row>
    <row r="465" spans="1:27" ht="12.7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</row>
    <row r="466" spans="1:27" ht="12.75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</row>
    <row r="467" spans="1:27" ht="12.75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</row>
    <row r="468" spans="1:27" ht="12.75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</row>
    <row r="469" spans="1:27" ht="12.75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</row>
    <row r="470" spans="1:27" ht="12.75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</row>
    <row r="471" spans="1:27" ht="12.75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</row>
    <row r="472" spans="1:27" ht="12.75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</row>
    <row r="473" spans="1:27" ht="12.75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</row>
    <row r="474" spans="1:27" ht="12.75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</row>
    <row r="475" spans="1:27" ht="12.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</row>
    <row r="476" spans="1:27" ht="12.75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</row>
    <row r="477" spans="1:27" ht="12.75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</row>
    <row r="478" spans="1:27" ht="12.75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</row>
    <row r="479" spans="1:27" ht="12.75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</row>
    <row r="480" spans="1:27" ht="12.75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</row>
    <row r="481" spans="1:27" ht="12.75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</row>
    <row r="482" spans="1:27" ht="12.75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</row>
    <row r="483" spans="1:27" ht="12.75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</row>
    <row r="484" spans="1:27" ht="12.75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</row>
    <row r="485" spans="1:27" ht="12.7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</row>
    <row r="486" spans="1:27" ht="12.75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</row>
    <row r="487" spans="1:27" ht="12.75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</row>
    <row r="488" spans="1:27" ht="12.75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</row>
    <row r="489" spans="1:27" ht="12.75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</row>
    <row r="490" spans="1:27" ht="12.75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</row>
    <row r="491" spans="1:27" ht="12.75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</row>
    <row r="492" spans="1:27" ht="12.75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</row>
    <row r="493" spans="1:27" ht="12.75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</row>
    <row r="494" spans="1:27" ht="12.75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</row>
    <row r="495" spans="1:27" ht="12.7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</row>
    <row r="496" spans="1:27" ht="12.75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</row>
    <row r="497" spans="1:27" ht="12.75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</row>
    <row r="498" spans="1:27" ht="12.75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</row>
    <row r="499" spans="1:27" ht="12.75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</row>
    <row r="500" spans="1:27" ht="12.75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</row>
    <row r="501" spans="1:27" ht="12.75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</row>
    <row r="502" spans="1:27" ht="12.75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</row>
    <row r="503" spans="1:27" ht="12.75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</row>
    <row r="504" spans="1:27" ht="12.75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</row>
    <row r="505" spans="1:27" ht="12.7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</row>
    <row r="506" spans="1:27" ht="12.75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</row>
    <row r="507" spans="1:27" ht="12.75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</row>
    <row r="508" spans="1:27" ht="12.75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</row>
    <row r="509" spans="1:27" ht="12.75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</row>
    <row r="510" spans="1:27" ht="12.75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</row>
    <row r="511" spans="1:27" ht="12.75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</row>
    <row r="512" spans="1:27" ht="12.75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</row>
    <row r="513" spans="1:27" ht="12.75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</row>
    <row r="514" spans="1:27" ht="12.75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</row>
    <row r="515" spans="1:27" ht="12.7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</row>
    <row r="516" spans="1:27" ht="12.75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</row>
    <row r="517" spans="1:27" ht="12.75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</row>
    <row r="518" spans="1:27" ht="12.75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</row>
    <row r="519" spans="1:27" ht="12.75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</row>
    <row r="520" spans="1:27" ht="12.75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</row>
    <row r="521" spans="1:27" ht="12.75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</row>
    <row r="522" spans="1:27" ht="12.75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</row>
    <row r="523" spans="1:27" ht="12.75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</row>
    <row r="524" spans="1:27" ht="12.75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</row>
    <row r="525" spans="1:27" ht="12.7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</row>
    <row r="526" spans="1:27" ht="12.75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</row>
    <row r="527" spans="1:27" ht="12.75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</row>
    <row r="528" spans="1:27" ht="12.75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</row>
    <row r="529" spans="1:27" ht="12.75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</row>
    <row r="530" spans="1:27" ht="12.75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</row>
    <row r="531" spans="1:27" ht="12.75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</row>
    <row r="532" spans="1:27" ht="12.75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</row>
    <row r="533" spans="1:27" ht="12.75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</row>
    <row r="534" spans="1:27" ht="12.75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</row>
    <row r="535" spans="1:27" ht="12.7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</row>
    <row r="536" spans="1:27" ht="12.75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</row>
    <row r="537" spans="1:27" ht="12.75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</row>
    <row r="538" spans="1:27" ht="12.75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</row>
    <row r="539" spans="1:27" ht="12.75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</row>
    <row r="540" spans="1:27" ht="12.75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</row>
    <row r="541" spans="1:27" ht="12.75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</row>
    <row r="542" spans="1:27" ht="12.75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</row>
    <row r="543" spans="1:27" ht="12.75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</row>
    <row r="544" spans="1:27" ht="12.75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</row>
    <row r="545" spans="1:27" ht="12.7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</row>
    <row r="546" spans="1:27" ht="12.75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</row>
    <row r="547" spans="1:27" ht="12.75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</row>
    <row r="548" spans="1:27" ht="12.75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</row>
    <row r="549" spans="1:27" ht="12.75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</row>
    <row r="550" spans="1:27" ht="12.75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</row>
    <row r="551" spans="1:27" ht="12.75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</row>
    <row r="552" spans="1:27" ht="12.75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</row>
    <row r="553" spans="1:27" ht="12.75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</row>
    <row r="554" spans="1:27" ht="12.75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</row>
    <row r="555" spans="1:27" ht="12.7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</row>
    <row r="556" spans="1:27" ht="12.75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</row>
    <row r="557" spans="1:27" ht="12.75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</row>
    <row r="558" spans="1:27" ht="12.75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</row>
    <row r="559" spans="1:27" ht="12.75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</row>
    <row r="560" spans="1:27" ht="12.75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</row>
    <row r="561" spans="1:27" ht="12.75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</row>
    <row r="562" spans="1:27" ht="12.75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</row>
    <row r="563" spans="1:27" ht="12.75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</row>
    <row r="564" spans="1:27" ht="12.75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</row>
    <row r="565" spans="1:27" ht="12.7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</row>
    <row r="566" spans="1:27" ht="12.75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</row>
    <row r="567" spans="1:27" ht="12.75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</row>
    <row r="568" spans="1:27" ht="12.75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</row>
    <row r="569" spans="1:27" ht="12.75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</row>
    <row r="570" spans="1:27" ht="12.75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</row>
    <row r="571" spans="1:27" ht="12.75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</row>
    <row r="572" spans="1:27" ht="12.75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</row>
    <row r="573" spans="1:27" ht="12.75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</row>
    <row r="574" spans="1:27" ht="12.75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</row>
    <row r="575" spans="1:27" ht="12.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</row>
    <row r="576" spans="1:27" ht="12.75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</row>
    <row r="577" spans="1:27" ht="12.75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</row>
    <row r="578" spans="1:27" ht="12.75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</row>
    <row r="579" spans="1:27" ht="12.75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</row>
    <row r="580" spans="1:27" ht="12.75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</row>
    <row r="581" spans="1:27" ht="12.75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</row>
    <row r="582" spans="1:27" ht="12.75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</row>
    <row r="583" spans="1:27" ht="12.75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</row>
    <row r="584" spans="1:27" ht="12.75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</row>
    <row r="585" spans="1:27" ht="12.7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</row>
    <row r="586" spans="1:27" ht="12.75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</row>
    <row r="587" spans="1:27" ht="12.75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</row>
    <row r="588" spans="1:27" ht="12.75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</row>
    <row r="589" spans="1:27" ht="12.75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</row>
    <row r="590" spans="1:27" ht="12.75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</row>
    <row r="591" spans="1:27" ht="12.75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</row>
    <row r="592" spans="1:27" ht="12.75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</row>
    <row r="593" spans="1:27" ht="12.75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</row>
    <row r="594" spans="1:27" ht="12.75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</row>
    <row r="595" spans="1:27" ht="12.7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</row>
    <row r="596" spans="1:27" ht="12.75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</row>
    <row r="597" spans="1:27" ht="12.75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</row>
    <row r="598" spans="1:27" ht="12.75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</row>
    <row r="599" spans="1:27" ht="12.75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</row>
    <row r="600" spans="1:27" ht="12.75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</row>
    <row r="601" spans="1:27" ht="12.75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</row>
    <row r="602" spans="1:27" ht="12.75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</row>
    <row r="603" spans="1:27" ht="12.75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</row>
    <row r="604" spans="1:27" ht="12.75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</row>
    <row r="605" spans="1:27" ht="12.7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</row>
    <row r="606" spans="1:27" ht="12.75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</row>
    <row r="607" spans="1:27" ht="12.75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</row>
    <row r="608" spans="1:27" ht="12.75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</row>
    <row r="609" spans="1:27" ht="12.75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</row>
    <row r="610" spans="1:27" ht="12.75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</row>
    <row r="611" spans="1:27" ht="12.75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</row>
    <row r="612" spans="1:27" ht="12.75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</row>
    <row r="613" spans="1:27" ht="12.75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</row>
    <row r="614" spans="1:27" ht="12.75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</row>
    <row r="615" spans="1:27" ht="12.7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</row>
    <row r="616" spans="1:27" ht="12.75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</row>
    <row r="617" spans="1:27" ht="12.75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</row>
    <row r="618" spans="1:27" ht="12.75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</row>
    <row r="619" spans="1:27" ht="12.75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</row>
    <row r="620" spans="1:27" ht="12.75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</row>
    <row r="621" spans="1:27" ht="12.75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</row>
    <row r="622" spans="1:27" ht="12.75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</row>
    <row r="623" spans="1:27" ht="12.75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</row>
    <row r="624" spans="1:27" ht="12.75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</row>
    <row r="625" spans="1:27" ht="12.7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</row>
    <row r="626" spans="1:27" ht="12.75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</row>
    <row r="627" spans="1:27" ht="12.75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</row>
    <row r="628" spans="1:27" ht="12.75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</row>
    <row r="629" spans="1:27" ht="12.75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</row>
    <row r="630" spans="1:27" ht="12.75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</row>
    <row r="631" spans="1:27" ht="12.75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</row>
    <row r="632" spans="1:27" ht="12.75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</row>
    <row r="633" spans="1:27" ht="12.75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</row>
    <row r="634" spans="1:27" ht="12.75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</row>
    <row r="635" spans="1:27" ht="12.7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</row>
    <row r="636" spans="1:27" ht="12.75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</row>
    <row r="637" spans="1:27" ht="12.75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</row>
    <row r="638" spans="1:27" ht="12.75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</row>
    <row r="639" spans="1:27" ht="12.75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</row>
    <row r="640" spans="1:27" ht="12.75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</row>
    <row r="641" spans="1:27" ht="12.75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</row>
    <row r="642" spans="1:27" ht="12.75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</row>
    <row r="643" spans="1:27" ht="12.75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</row>
    <row r="644" spans="1:27" ht="12.75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</row>
    <row r="645" spans="1:27" ht="12.7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</row>
    <row r="646" spans="1:27" ht="12.75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</row>
    <row r="647" spans="1:27" ht="12.75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</row>
    <row r="648" spans="1:27" ht="12.75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</row>
    <row r="649" spans="1:27" ht="12.75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</row>
    <row r="650" spans="1:27" ht="12.75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</row>
    <row r="651" spans="1:27" ht="12.75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</row>
    <row r="652" spans="1:27" ht="12.75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</row>
    <row r="653" spans="1:27" ht="12.75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</row>
    <row r="654" spans="1:27" ht="12.75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</row>
    <row r="655" spans="1:27" ht="12.7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</row>
    <row r="656" spans="1:27" ht="12.75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</row>
    <row r="657" spans="1:27" ht="12.75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</row>
    <row r="658" spans="1:27" ht="12.75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</row>
    <row r="659" spans="1:27" ht="12.75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</row>
    <row r="660" spans="1:27" ht="12.75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</row>
    <row r="661" spans="1:27" ht="12.75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</row>
    <row r="662" spans="1:27" ht="12.75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</row>
    <row r="663" spans="1:27" ht="12.75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</row>
    <row r="664" spans="1:27" ht="12.75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</row>
    <row r="665" spans="1:27" ht="12.7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</row>
    <row r="666" spans="1:27" ht="12.75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</row>
    <row r="667" spans="1:27" ht="12.75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</row>
    <row r="668" spans="1:27" ht="12.75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</row>
    <row r="669" spans="1:27" ht="12.75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</row>
    <row r="670" spans="1:27" ht="12.75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</row>
    <row r="671" spans="1:27" ht="12.75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</row>
    <row r="672" spans="1:27" ht="12.75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</row>
    <row r="673" spans="1:27" ht="12.75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</row>
    <row r="674" spans="1:27" ht="12.75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</row>
    <row r="675" spans="1:27" ht="12.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</row>
    <row r="676" spans="1:27" ht="12.75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</row>
    <row r="677" spans="1:27" ht="12.75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</row>
    <row r="678" spans="1:27" ht="12.75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</row>
    <row r="679" spans="1:27" ht="12.75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</row>
    <row r="680" spans="1:27" ht="12.75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</row>
    <row r="681" spans="1:27" ht="12.75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</row>
    <row r="682" spans="1:27" ht="12.75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</row>
    <row r="683" spans="1:27" ht="12.75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</row>
    <row r="684" spans="1:27" ht="12.75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</row>
    <row r="685" spans="1:27" ht="12.7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</row>
    <row r="686" spans="1:27" ht="12.75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</row>
    <row r="687" spans="1:27" ht="12.75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</row>
    <row r="688" spans="1:27" ht="12.75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</row>
    <row r="689" spans="1:27" ht="12.75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</row>
    <row r="690" spans="1:27" ht="12.75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</row>
    <row r="691" spans="1:27" ht="12.75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</row>
    <row r="692" spans="1:27" ht="12.75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</row>
    <row r="693" spans="1:27" ht="12.75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</row>
    <row r="694" spans="1:27" ht="12.75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</row>
    <row r="695" spans="1:27" ht="12.7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</row>
    <row r="696" spans="1:27" ht="12.75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</row>
    <row r="697" spans="1:27" ht="12.75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</row>
    <row r="698" spans="1:27" ht="12.75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</row>
    <row r="699" spans="1:27" ht="12.75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</row>
    <row r="700" spans="1:27" ht="12.75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</row>
    <row r="701" spans="1:27" ht="12.75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</row>
    <row r="702" spans="1:27" ht="12.75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</row>
    <row r="703" spans="1:27" ht="12.75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</row>
    <row r="704" spans="1:27" ht="12.75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</row>
    <row r="705" spans="1:27" ht="12.7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</row>
    <row r="706" spans="1:27" ht="12.75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</row>
    <row r="707" spans="1:27" ht="12.75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</row>
    <row r="708" spans="1:27" ht="12.75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</row>
    <row r="709" spans="1:27" ht="12.75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</row>
    <row r="710" spans="1:27" ht="12.75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</row>
    <row r="711" spans="1:27" ht="12.75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</row>
    <row r="712" spans="1:27" ht="12.75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</row>
    <row r="713" spans="1:27" ht="12.75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</row>
    <row r="714" spans="1:27" ht="12.75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</row>
    <row r="715" spans="1:27" ht="12.7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</row>
    <row r="716" spans="1:27" ht="12.75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</row>
    <row r="717" spans="1:27" ht="12.75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</row>
    <row r="718" spans="1:27" ht="12.75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</row>
    <row r="719" spans="1:27" ht="12.75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</row>
    <row r="720" spans="1:27" ht="12.75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</row>
    <row r="721" spans="1:27" ht="12.75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</row>
    <row r="722" spans="1:27" ht="12.75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</row>
    <row r="723" spans="1:27" ht="12.75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</row>
    <row r="724" spans="1:27" ht="12.75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</row>
    <row r="725" spans="1:27" ht="12.7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</row>
    <row r="726" spans="1:27" ht="12.75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</row>
    <row r="727" spans="1:27" ht="12.75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</row>
    <row r="728" spans="1:27" ht="12.75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</row>
    <row r="729" spans="1:27" ht="12.75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</row>
    <row r="730" spans="1:27" ht="12.75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</row>
    <row r="731" spans="1:27" ht="12.75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</row>
    <row r="732" spans="1:27" ht="12.75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</row>
    <row r="733" spans="1:27" ht="12.75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</row>
    <row r="734" spans="1:27" ht="12.75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</row>
    <row r="735" spans="1:27" ht="12.7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</row>
    <row r="736" spans="1:27" ht="12.75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</row>
    <row r="737" spans="1:27" ht="12.75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</row>
    <row r="738" spans="1:27" ht="12.75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</row>
    <row r="739" spans="1:27" ht="12.75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</row>
    <row r="740" spans="1:27" ht="12.75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</row>
    <row r="741" spans="1:27" ht="12.75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</row>
    <row r="742" spans="1:27" ht="12.75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</row>
    <row r="743" spans="1:27" ht="12.75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</row>
    <row r="744" spans="1:27" ht="12.75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</row>
    <row r="745" spans="1:27" ht="12.7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</row>
    <row r="746" spans="1:27" ht="12.75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</row>
    <row r="747" spans="1:27" ht="12.75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</row>
    <row r="748" spans="1:27" ht="12.75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</row>
    <row r="749" spans="1:27" ht="12.75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</row>
    <row r="750" spans="1:27" ht="12.75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</row>
    <row r="751" spans="1:27" ht="12.75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</row>
    <row r="752" spans="1:27" ht="12.75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</row>
    <row r="753" spans="1:27" ht="12.75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</row>
    <row r="754" spans="1:27" ht="12.75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</row>
    <row r="755" spans="1:27" ht="12.7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</row>
    <row r="756" spans="1:27" ht="12.75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</row>
    <row r="757" spans="1:27" ht="12.75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</row>
    <row r="758" spans="1:27" ht="12.75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</row>
    <row r="759" spans="1:27" ht="12.75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</row>
    <row r="760" spans="1:27" ht="12.75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</row>
    <row r="761" spans="1:27" ht="12.75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</row>
    <row r="762" spans="1:27" ht="12.75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</row>
    <row r="763" spans="1:27" ht="12.75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</row>
    <row r="764" spans="1:27" ht="12.75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</row>
    <row r="765" spans="1:27" ht="12.7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</row>
    <row r="766" spans="1:27" ht="12.75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</row>
    <row r="767" spans="1:27" ht="12.75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</row>
    <row r="768" spans="1:27" ht="12.75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</row>
    <row r="769" spans="1:27" ht="12.75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</row>
    <row r="770" spans="1:27" ht="12.75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</row>
    <row r="771" spans="1:27" ht="12.75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</row>
    <row r="772" spans="1:27" ht="12.75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</row>
    <row r="773" spans="1:27" ht="12.75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</row>
    <row r="774" spans="1:27" ht="12.75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</row>
    <row r="775" spans="1:27" ht="12.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</row>
    <row r="776" spans="1:27" ht="12.75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</row>
    <row r="777" spans="1:27" ht="12.75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</row>
    <row r="778" spans="1:27" ht="12.75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</row>
    <row r="779" spans="1:27" ht="12.75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</row>
    <row r="780" spans="1:27" ht="12.75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</row>
    <row r="781" spans="1:27" ht="12.75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</row>
    <row r="782" spans="1:27" ht="12.75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</row>
    <row r="783" spans="1:27" ht="12.75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</row>
    <row r="784" spans="1:27" ht="12.75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</row>
    <row r="785" spans="1:27" ht="12.7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</row>
    <row r="786" spans="1:27" ht="12.75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</row>
    <row r="787" spans="1:27" ht="12.75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</row>
    <row r="788" spans="1:27" ht="12.75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</row>
    <row r="789" spans="1:27" ht="12.75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</row>
    <row r="790" spans="1:27" ht="12.75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</row>
    <row r="791" spans="1:27" ht="12.75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</row>
    <row r="792" spans="1:27" ht="12.75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</row>
    <row r="793" spans="1:27" ht="12.75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</row>
    <row r="794" spans="1:27" ht="12.75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</row>
    <row r="795" spans="1:27" ht="12.7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</row>
    <row r="796" spans="1:27" ht="12.75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</row>
    <row r="797" spans="1:27" ht="12.75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</row>
    <row r="798" spans="1:27" ht="12.75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</row>
    <row r="799" spans="1:27" ht="12.75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</row>
    <row r="800" spans="1:27" ht="12.75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</row>
    <row r="801" spans="1:27" ht="12.75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</row>
    <row r="802" spans="1:27" ht="12.75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</row>
    <row r="803" spans="1:27" ht="12.75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</row>
    <row r="804" spans="1:27" ht="12.75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</row>
    <row r="805" spans="1:27" ht="12.7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</row>
    <row r="806" spans="1:27" ht="12.75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</row>
    <row r="807" spans="1:27" ht="12.75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</row>
    <row r="808" spans="1:27" ht="12.75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</row>
    <row r="809" spans="1:27" ht="12.75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</row>
    <row r="810" spans="1:27" ht="12.75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</row>
    <row r="811" spans="1:27" ht="12.75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</row>
    <row r="812" spans="1:27" ht="12.75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</row>
    <row r="813" spans="1:27" ht="12.75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</row>
    <row r="814" spans="1:27" ht="12.75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</row>
    <row r="815" spans="1:27" ht="12.7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</row>
    <row r="816" spans="1:27" ht="12.75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</row>
    <row r="817" spans="1:27" ht="12.75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</row>
    <row r="818" spans="1:27" ht="12.75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</row>
    <row r="819" spans="1:27" ht="12.75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</row>
    <row r="820" spans="1:27" ht="12.75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</row>
    <row r="821" spans="1:27" ht="12.75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</row>
    <row r="822" spans="1:27" ht="12.75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</row>
    <row r="823" spans="1:27" ht="12.75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</row>
    <row r="824" spans="1:27" ht="12.75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</row>
    <row r="825" spans="1:27" ht="12.7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</row>
    <row r="826" spans="1:27" ht="12.75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</row>
    <row r="827" spans="1:27" ht="12.75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</row>
    <row r="828" spans="1:27" ht="12.75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</row>
    <row r="829" spans="1:27" ht="12.75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</row>
    <row r="830" spans="1:27" ht="12.75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</row>
    <row r="831" spans="1:27" ht="12.75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</row>
    <row r="832" spans="1:27" ht="12.75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</row>
    <row r="833" spans="1:27" ht="12.75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</row>
    <row r="834" spans="1:27" ht="12.75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</row>
    <row r="835" spans="1:27" ht="12.7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</row>
    <row r="836" spans="1:27" ht="12.75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</row>
    <row r="837" spans="1:27" ht="12.75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</row>
    <row r="838" spans="1:27" ht="12.75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</row>
    <row r="839" spans="1:27" ht="12.75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</row>
    <row r="840" spans="1:27" ht="12.75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</row>
    <row r="841" spans="1:27" ht="12.75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</row>
    <row r="842" spans="1:27" ht="12.75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</row>
    <row r="843" spans="1:27" ht="12.75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</row>
    <row r="844" spans="1:27" ht="12.75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</row>
    <row r="845" spans="1:27" ht="12.7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</row>
    <row r="846" spans="1:27" ht="12.75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</row>
    <row r="847" spans="1:27" ht="12.75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</row>
    <row r="848" spans="1:27" ht="12.75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</row>
    <row r="849" spans="1:27" ht="12.75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</row>
    <row r="850" spans="1:27" ht="12.75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</row>
    <row r="851" spans="1:27" ht="12.75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</row>
    <row r="852" spans="1:27" ht="12.75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</row>
    <row r="853" spans="1:27" ht="12.75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</row>
    <row r="854" spans="1:27" ht="12.75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</row>
    <row r="855" spans="1:27" ht="12.7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</row>
    <row r="856" spans="1:27" ht="12.75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</row>
    <row r="857" spans="1:27" ht="12.75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</row>
    <row r="858" spans="1:27" ht="12.75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</row>
    <row r="859" spans="1:27" ht="12.75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</row>
    <row r="860" spans="1:27" ht="12.75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</row>
    <row r="861" spans="1:27" ht="12.75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</row>
    <row r="862" spans="1:27" ht="12.75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</row>
    <row r="863" spans="1:27" ht="12.75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</row>
    <row r="864" spans="1:27" ht="12.75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</row>
    <row r="865" spans="1:27" ht="12.7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</row>
    <row r="866" spans="1:27" ht="12.75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</row>
    <row r="867" spans="1:27" ht="12.75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</row>
    <row r="868" spans="1:27" ht="12.75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</row>
    <row r="869" spans="1:27" ht="12.75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</row>
    <row r="870" spans="1:27" ht="12.75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</row>
    <row r="871" spans="1:27" ht="12.75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</row>
    <row r="872" spans="1:27" ht="12.75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</row>
    <row r="873" spans="1:27" ht="12.75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</row>
    <row r="874" spans="1:27" ht="12.75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</row>
    <row r="875" spans="1:27" ht="12.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</row>
    <row r="876" spans="1:27" ht="12.75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</row>
    <row r="877" spans="1:27" ht="12.75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</row>
    <row r="878" spans="1:27" ht="12.75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</row>
    <row r="879" spans="1:27" ht="12.75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</row>
    <row r="880" spans="1:27" ht="12.75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</row>
    <row r="881" spans="1:27" ht="12.75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</row>
    <row r="882" spans="1:27" ht="12.75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</row>
    <row r="883" spans="1:27" ht="12.75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</row>
    <row r="884" spans="1:27" ht="12.75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</row>
    <row r="885" spans="1:27" ht="12.7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</row>
    <row r="886" spans="1:27" ht="12.75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</row>
    <row r="887" spans="1:27" ht="12.75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</row>
    <row r="888" spans="1:27" ht="12.75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</row>
    <row r="889" spans="1:27" ht="12.75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</row>
    <row r="890" spans="1:27" ht="12.75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</row>
    <row r="891" spans="1:27" ht="12.75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</row>
    <row r="892" spans="1:27" ht="12.75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</row>
    <row r="893" spans="1:27" ht="12.75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</row>
    <row r="894" spans="1:27" ht="12.75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</row>
    <row r="895" spans="1:27" ht="12.7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</row>
    <row r="896" spans="1:27" ht="12.75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</row>
    <row r="897" spans="1:27" ht="12.75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</row>
    <row r="898" spans="1:27" ht="12.75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</row>
    <row r="899" spans="1:27" ht="12.75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</row>
    <row r="900" spans="1:27" ht="12.75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</row>
    <row r="901" spans="1:27" ht="12.75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</row>
    <row r="902" spans="1:27" ht="12.75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</row>
    <row r="903" spans="1:27" ht="12.75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</row>
    <row r="904" spans="1:27" ht="12.75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</row>
    <row r="905" spans="1:27" ht="12.7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</row>
    <row r="906" spans="1:27" ht="12.75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</row>
    <row r="907" spans="1:27" ht="12.75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</row>
    <row r="908" spans="1:27" ht="12.75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</row>
    <row r="909" spans="1:27" ht="12.75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</row>
    <row r="910" spans="1:27" ht="12.75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</row>
    <row r="911" spans="1:27" ht="12.75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</row>
    <row r="912" spans="1:27" ht="12.75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</row>
    <row r="913" spans="1:27" ht="12.75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</row>
    <row r="914" spans="1:27" ht="12.75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</row>
    <row r="915" spans="1:27" ht="12.7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</row>
    <row r="916" spans="1:27" ht="12.75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</row>
    <row r="917" spans="1:27" ht="12.75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</row>
    <row r="918" spans="1:27" ht="12.75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</row>
    <row r="919" spans="1:27" ht="12.75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</row>
    <row r="920" spans="1:27" ht="12.75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</row>
    <row r="921" spans="1:27" ht="12.75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</row>
    <row r="922" spans="1:27" ht="12.75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</row>
    <row r="923" spans="1:27" ht="12.75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</row>
    <row r="924" spans="1:27" ht="12.75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</row>
    <row r="925" spans="1:27" ht="12.7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</row>
    <row r="926" spans="1:27" ht="12.75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</row>
    <row r="927" spans="1:27" ht="12.75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</row>
    <row r="928" spans="1:27" ht="12.75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</row>
    <row r="929" spans="1:27" ht="12.75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</row>
    <row r="930" spans="1:27" ht="12.75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</row>
    <row r="931" spans="1:27" ht="12.75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</row>
    <row r="932" spans="1:27" ht="12.75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</row>
    <row r="933" spans="1:27" ht="12.75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</row>
    <row r="934" spans="1:27" ht="12.75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</row>
    <row r="935" spans="1:27" ht="12.7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</row>
    <row r="936" spans="1:27" ht="12.75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</row>
    <row r="937" spans="1:27" ht="12.75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</row>
    <row r="938" spans="1:27" ht="12.75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</row>
    <row r="939" spans="1:27" ht="12.75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</row>
    <row r="940" spans="1:27" ht="12.75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</row>
    <row r="941" spans="1:27" ht="12.75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</row>
    <row r="942" spans="1:27" ht="12.75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</row>
    <row r="943" spans="1:27" ht="12.75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</row>
    <row r="944" spans="1:27" ht="12.75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</row>
    <row r="945" spans="1:27" ht="12.7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</row>
    <row r="946" spans="1:27" ht="12.75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</row>
    <row r="947" spans="1:27" ht="12.75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</row>
    <row r="948" spans="1:27" ht="12.75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</row>
    <row r="949" spans="1:27" ht="12.75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</row>
    <row r="950" spans="1:27" ht="12.75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</row>
    <row r="951" spans="1:27" ht="12.75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</row>
    <row r="952" spans="1:27" ht="12.75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</row>
    <row r="953" spans="1:27" ht="12.75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</row>
    <row r="954" spans="1:27" ht="12.75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</row>
    <row r="955" spans="1:27" ht="12.7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</row>
    <row r="956" spans="1:27" ht="12.75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</row>
    <row r="957" spans="1:27" ht="12.75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</row>
    <row r="958" spans="1:27" ht="12.75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</row>
    <row r="959" spans="1:27" ht="12.75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</row>
    <row r="960" spans="1:27" ht="12.75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</row>
    <row r="961" spans="1:27" ht="12.75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</row>
    <row r="962" spans="1:27" ht="12.75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</row>
    <row r="963" spans="1:27" ht="12.75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</row>
    <row r="964" spans="1:27" ht="12.75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</row>
    <row r="965" spans="1:27" ht="12.7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</row>
    <row r="966" spans="1:27" ht="12.75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</row>
    <row r="967" spans="1:27" ht="12.75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</row>
    <row r="968" spans="1:27" ht="12.75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</row>
    <row r="969" spans="1:27" ht="12.75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</row>
    <row r="970" spans="1:27" ht="12.75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</row>
    <row r="971" spans="1:27" ht="12.75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</row>
    <row r="972" spans="1:27" ht="12.75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</row>
    <row r="973" spans="1:27" ht="12.75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</row>
    <row r="974" spans="1:27" ht="12.75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</row>
    <row r="975" spans="1:27" ht="12.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</row>
    <row r="976" spans="1:27" ht="12.75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</row>
    <row r="977" spans="1:27" ht="12.75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</row>
    <row r="978" spans="1:27" ht="12.75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</row>
    <row r="979" spans="1:27" ht="12.75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</row>
    <row r="980" spans="1:27" ht="12.75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</row>
    <row r="981" spans="1:27" ht="12.75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</row>
    <row r="982" spans="1:27" ht="12.75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</row>
    <row r="983" spans="1:27" ht="12.75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</row>
    <row r="984" spans="1:27" ht="12.75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</row>
    <row r="985" spans="1:27" ht="12.7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</row>
    <row r="986" spans="1:27" ht="12.75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</row>
    <row r="987" spans="1:27" ht="12.75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</row>
    <row r="988" spans="1:27" ht="12.75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</row>
    <row r="989" spans="1:27" ht="12.75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</row>
    <row r="990" spans="1:27" ht="12.75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</row>
    <row r="991" spans="1:27" ht="12.75">
      <c r="A991" s="83"/>
      <c r="B991" s="83"/>
      <c r="C991" s="83"/>
      <c r="D991" s="83"/>
      <c r="E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</row>
    <row r="992" spans="1:27" ht="12.75">
      <c r="A992" s="83"/>
      <c r="B992" s="83"/>
      <c r="C992" s="83"/>
      <c r="D992" s="83"/>
      <c r="E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</row>
  </sheetData>
  <autoFilter ref="A1:I13" xr:uid="{00000000-0009-0000-0000-000002000000}">
    <sortState xmlns:xlrd2="http://schemas.microsoft.com/office/spreadsheetml/2017/richdata2" ref="A2:I14">
      <sortCondition ref="B1:B13"/>
    </sortState>
  </autoFilter>
  <mergeCells count="2">
    <mergeCell ref="N1:N2"/>
    <mergeCell ref="O1:O2"/>
  </mergeCells>
  <conditionalFormatting sqref="F2:F13">
    <cfRule type="expression" dxfId="46" priority="3">
      <formula>D2=F2</formula>
    </cfRule>
  </conditionalFormatting>
  <conditionalFormatting sqref="G14">
    <cfRule type="expression" dxfId="45" priority="1">
      <formula>J18&lt;0</formula>
    </cfRule>
  </conditionalFormatting>
  <conditionalFormatting sqref="O1">
    <cfRule type="expression" dxfId="44" priority="2">
      <formula>L15=TRUE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39F9-D157-41DC-B632-898FF6DFCADF}">
  <dimension ref="A1:L2306"/>
  <sheetViews>
    <sheetView topLeftCell="E1" zoomScale="145" zoomScaleNormal="145" workbookViewId="0">
      <pane ySplit="1" topLeftCell="A34" activePane="bottomLeft" state="frozen"/>
      <selection pane="bottomLeft" activeCell="F20" sqref="F20"/>
      <selection activeCell="E1" sqref="E1"/>
    </sheetView>
  </sheetViews>
  <sheetFormatPr defaultRowHeight="15"/>
  <cols>
    <col min="1" max="1" width="9.85546875" customWidth="1"/>
    <col min="2" max="2" width="17.85546875" bestFit="1" customWidth="1"/>
    <col min="3" max="3" width="9.85546875" customWidth="1"/>
    <col min="4" max="4" width="13" style="54" bestFit="1" customWidth="1"/>
    <col min="5" max="5" width="32.5703125" style="42" customWidth="1"/>
    <col min="6" max="6" width="22" bestFit="1" customWidth="1"/>
    <col min="7" max="7" width="13.85546875" style="53" bestFit="1" customWidth="1"/>
    <col min="8" max="8" width="52.42578125" style="32" bestFit="1" customWidth="1"/>
    <col min="9" max="9" width="52.5703125" style="32" customWidth="1"/>
  </cols>
  <sheetData>
    <row r="1" spans="1:9" s="49" customFormat="1" ht="25.5" customHeight="1" thickBot="1">
      <c r="A1" s="46" t="s">
        <v>120</v>
      </c>
      <c r="B1" s="46" t="s">
        <v>21</v>
      </c>
      <c r="C1" s="46" t="s">
        <v>22</v>
      </c>
      <c r="D1" s="50" t="s">
        <v>121</v>
      </c>
      <c r="E1" s="50" t="s">
        <v>76</v>
      </c>
      <c r="F1" s="46" t="s">
        <v>72</v>
      </c>
      <c r="G1" s="51" t="s">
        <v>122</v>
      </c>
      <c r="H1" s="46" t="s">
        <v>123</v>
      </c>
      <c r="I1" s="46" t="s">
        <v>124</v>
      </c>
    </row>
    <row r="2" spans="1:9" ht="18.75">
      <c r="A2" t="s">
        <v>125</v>
      </c>
      <c r="B2">
        <v>8</v>
      </c>
      <c r="C2">
        <v>2023</v>
      </c>
      <c r="D2" s="54">
        <v>45166</v>
      </c>
      <c r="E2" s="42" t="s">
        <v>126</v>
      </c>
      <c r="F2" s="76" t="s">
        <v>72</v>
      </c>
      <c r="G2" s="52">
        <v>-10000</v>
      </c>
      <c r="H2" s="32" t="s">
        <v>127</v>
      </c>
    </row>
    <row r="3" spans="1:9" ht="18.75">
      <c r="A3" t="s">
        <v>128</v>
      </c>
      <c r="B3">
        <v>9</v>
      </c>
      <c r="C3">
        <v>2023</v>
      </c>
      <c r="D3" s="54">
        <v>45170</v>
      </c>
      <c r="E3" s="42" t="s">
        <v>126</v>
      </c>
      <c r="F3" s="76" t="s">
        <v>72</v>
      </c>
      <c r="G3" s="52">
        <v>900</v>
      </c>
      <c r="H3" s="32" t="s">
        <v>129</v>
      </c>
    </row>
    <row r="4" spans="1:9" ht="18.75">
      <c r="A4" t="s">
        <v>130</v>
      </c>
      <c r="B4">
        <v>9</v>
      </c>
      <c r="C4">
        <v>2023</v>
      </c>
      <c r="D4" s="54">
        <v>45175</v>
      </c>
      <c r="E4" s="42" t="s">
        <v>126</v>
      </c>
      <c r="F4" s="76" t="s">
        <v>72</v>
      </c>
      <c r="G4" s="52">
        <v>-1372</v>
      </c>
      <c r="H4" s="32" t="s">
        <v>131</v>
      </c>
    </row>
    <row r="5" spans="1:9" ht="18.75">
      <c r="A5" t="s">
        <v>132</v>
      </c>
      <c r="B5">
        <v>9</v>
      </c>
      <c r="C5">
        <v>2023</v>
      </c>
      <c r="D5" s="54">
        <v>45191</v>
      </c>
      <c r="E5" s="42" t="s">
        <v>126</v>
      </c>
      <c r="F5" s="76" t="s">
        <v>48</v>
      </c>
      <c r="G5" s="52">
        <v>0</v>
      </c>
      <c r="H5" s="32" t="s">
        <v>133</v>
      </c>
    </row>
    <row r="6" spans="1:9" ht="18.75">
      <c r="A6" t="s">
        <v>134</v>
      </c>
      <c r="B6">
        <v>9</v>
      </c>
      <c r="C6">
        <v>2023</v>
      </c>
      <c r="D6" s="54">
        <v>45191</v>
      </c>
      <c r="E6" s="42" t="s">
        <v>126</v>
      </c>
      <c r="F6" s="76" t="s">
        <v>48</v>
      </c>
      <c r="G6" s="52">
        <v>0</v>
      </c>
      <c r="H6" s="32" t="s">
        <v>135</v>
      </c>
    </row>
    <row r="7" spans="1:9" ht="18.75">
      <c r="A7" t="s">
        <v>136</v>
      </c>
      <c r="B7">
        <v>10</v>
      </c>
      <c r="C7">
        <v>2023</v>
      </c>
      <c r="D7" s="54">
        <v>45202</v>
      </c>
      <c r="E7" s="42" t="s">
        <v>126</v>
      </c>
      <c r="F7" s="76" t="s">
        <v>72</v>
      </c>
      <c r="G7" s="52">
        <v>900</v>
      </c>
      <c r="H7" s="32" t="s">
        <v>137</v>
      </c>
    </row>
    <row r="8" spans="1:9" ht="18.75">
      <c r="A8" t="s">
        <v>138</v>
      </c>
      <c r="B8">
        <v>10</v>
      </c>
      <c r="C8">
        <v>2023</v>
      </c>
      <c r="D8" s="54">
        <v>45211</v>
      </c>
      <c r="E8" s="42" t="s">
        <v>126</v>
      </c>
      <c r="F8" s="76" t="s">
        <v>72</v>
      </c>
      <c r="G8" s="52">
        <v>-89.95</v>
      </c>
      <c r="H8" s="32" t="s">
        <v>139</v>
      </c>
    </row>
    <row r="9" spans="1:9" ht="18.75">
      <c r="A9" t="s">
        <v>140</v>
      </c>
      <c r="B9">
        <v>10</v>
      </c>
      <c r="C9">
        <v>2023</v>
      </c>
      <c r="D9" s="54">
        <v>45222</v>
      </c>
      <c r="E9" s="42" t="s">
        <v>126</v>
      </c>
      <c r="F9" s="76" t="s">
        <v>48</v>
      </c>
      <c r="G9" s="52">
        <v>0</v>
      </c>
      <c r="H9" s="32" t="s">
        <v>141</v>
      </c>
    </row>
    <row r="10" spans="1:9" ht="18.75">
      <c r="A10" t="s">
        <v>142</v>
      </c>
      <c r="B10">
        <v>10</v>
      </c>
      <c r="C10">
        <v>2023</v>
      </c>
      <c r="D10" s="54">
        <v>45222</v>
      </c>
      <c r="E10" s="42" t="s">
        <v>126</v>
      </c>
      <c r="F10" s="76" t="s">
        <v>48</v>
      </c>
      <c r="G10" s="52">
        <v>0</v>
      </c>
      <c r="H10" s="32" t="s">
        <v>143</v>
      </c>
    </row>
    <row r="11" spans="1:9" ht="18.75">
      <c r="A11" t="s">
        <v>144</v>
      </c>
      <c r="B11">
        <v>11</v>
      </c>
      <c r="C11">
        <v>2023</v>
      </c>
      <c r="D11" s="54">
        <v>45231</v>
      </c>
      <c r="E11" s="42" t="s">
        <v>126</v>
      </c>
      <c r="F11" s="76" t="s">
        <v>72</v>
      </c>
      <c r="G11" s="52">
        <v>900</v>
      </c>
      <c r="H11" s="32" t="s">
        <v>145</v>
      </c>
    </row>
    <row r="12" spans="1:9" ht="18.75">
      <c r="B12">
        <v>12</v>
      </c>
      <c r="C12">
        <v>2025</v>
      </c>
      <c r="D12" s="54">
        <v>45995</v>
      </c>
      <c r="E12" s="121" t="s">
        <v>146</v>
      </c>
      <c r="F12" s="76" t="s">
        <v>59</v>
      </c>
      <c r="G12" s="52">
        <f>(15.31+8.45+8.9)*-1</f>
        <v>-32.659999999999997</v>
      </c>
      <c r="H12" s="32" t="s">
        <v>147</v>
      </c>
      <c r="I12" s="32" t="s">
        <v>148</v>
      </c>
    </row>
    <row r="13" spans="1:9" ht="18.75">
      <c r="A13" t="s">
        <v>149</v>
      </c>
      <c r="B13">
        <v>11</v>
      </c>
      <c r="C13">
        <v>2023</v>
      </c>
      <c r="D13" s="54">
        <v>45252</v>
      </c>
      <c r="E13" s="42" t="s">
        <v>126</v>
      </c>
      <c r="F13" s="76" t="s">
        <v>48</v>
      </c>
      <c r="G13" s="52">
        <v>0</v>
      </c>
      <c r="H13" s="32" t="s">
        <v>150</v>
      </c>
    </row>
    <row r="14" spans="1:9" ht="18.75">
      <c r="A14" t="s">
        <v>151</v>
      </c>
      <c r="B14">
        <v>11</v>
      </c>
      <c r="C14">
        <v>2023</v>
      </c>
      <c r="D14" s="54">
        <v>45252</v>
      </c>
      <c r="E14" s="42" t="s">
        <v>126</v>
      </c>
      <c r="F14" s="76" t="s">
        <v>48</v>
      </c>
      <c r="G14" s="52">
        <v>0</v>
      </c>
      <c r="H14" s="32" t="s">
        <v>152</v>
      </c>
    </row>
    <row r="15" spans="1:9" ht="18.75">
      <c r="A15" t="s">
        <v>153</v>
      </c>
      <c r="B15">
        <v>12</v>
      </c>
      <c r="C15">
        <v>2023</v>
      </c>
      <c r="D15" s="54">
        <v>45261</v>
      </c>
      <c r="E15" s="42" t="s">
        <v>126</v>
      </c>
      <c r="F15" s="76" t="s">
        <v>72</v>
      </c>
      <c r="G15" s="52">
        <v>800</v>
      </c>
      <c r="H15" s="32" t="s">
        <v>154</v>
      </c>
    </row>
    <row r="16" spans="1:9" ht="18.75">
      <c r="A16" t="s">
        <v>155</v>
      </c>
      <c r="B16">
        <v>12</v>
      </c>
      <c r="C16">
        <v>2023</v>
      </c>
      <c r="D16" s="54">
        <v>45282</v>
      </c>
      <c r="E16" s="42" t="s">
        <v>126</v>
      </c>
      <c r="F16" s="76" t="s">
        <v>48</v>
      </c>
      <c r="G16" s="52">
        <v>0</v>
      </c>
      <c r="H16" s="32" t="s">
        <v>156</v>
      </c>
    </row>
    <row r="17" spans="1:8" ht="18.75">
      <c r="A17" t="s">
        <v>157</v>
      </c>
      <c r="B17">
        <v>12</v>
      </c>
      <c r="C17">
        <v>2023</v>
      </c>
      <c r="D17" s="54">
        <v>45282</v>
      </c>
      <c r="E17" s="42" t="s">
        <v>126</v>
      </c>
      <c r="F17" s="76" t="s">
        <v>48</v>
      </c>
      <c r="G17" s="52">
        <v>0</v>
      </c>
      <c r="H17" s="32" t="s">
        <v>158</v>
      </c>
    </row>
    <row r="18" spans="1:8" ht="18.75">
      <c r="A18" t="s">
        <v>159</v>
      </c>
      <c r="B18">
        <v>12</v>
      </c>
      <c r="C18">
        <v>2023</v>
      </c>
      <c r="D18" s="54">
        <v>45287</v>
      </c>
      <c r="E18" s="42" t="s">
        <v>160</v>
      </c>
      <c r="F18" s="76" t="s">
        <v>49</v>
      </c>
      <c r="G18" s="52">
        <v>0</v>
      </c>
      <c r="H18" s="32" t="s">
        <v>161</v>
      </c>
    </row>
    <row r="19" spans="1:8" ht="18.75">
      <c r="A19" t="s">
        <v>162</v>
      </c>
      <c r="B19">
        <v>12</v>
      </c>
      <c r="C19">
        <v>2023</v>
      </c>
      <c r="D19" s="54">
        <v>45287</v>
      </c>
      <c r="E19" s="42" t="s">
        <v>160</v>
      </c>
      <c r="F19" s="76" t="s">
        <v>43</v>
      </c>
      <c r="G19" s="52">
        <v>0</v>
      </c>
      <c r="H19" s="32" t="s">
        <v>163</v>
      </c>
    </row>
    <row r="20" spans="1:8" ht="18.75">
      <c r="A20" t="s">
        <v>164</v>
      </c>
      <c r="B20">
        <v>12</v>
      </c>
      <c r="C20">
        <v>2023</v>
      </c>
      <c r="D20" s="54">
        <v>45287</v>
      </c>
      <c r="E20" s="42" t="s">
        <v>146</v>
      </c>
      <c r="F20" s="76" t="s">
        <v>72</v>
      </c>
      <c r="G20" s="52">
        <v>0</v>
      </c>
      <c r="H20" s="32" t="s">
        <v>165</v>
      </c>
    </row>
    <row r="21" spans="1:8" ht="18.75">
      <c r="A21" t="s">
        <v>166</v>
      </c>
      <c r="B21">
        <v>12</v>
      </c>
      <c r="C21">
        <v>2023</v>
      </c>
      <c r="D21" s="54">
        <v>45287</v>
      </c>
      <c r="E21" s="42" t="s">
        <v>160</v>
      </c>
      <c r="F21" s="76" t="s">
        <v>29</v>
      </c>
      <c r="G21" s="52">
        <v>0</v>
      </c>
      <c r="H21" s="32" t="s">
        <v>167</v>
      </c>
    </row>
    <row r="22" spans="1:8" ht="18.75">
      <c r="A22" t="s">
        <v>168</v>
      </c>
      <c r="B22">
        <v>12</v>
      </c>
      <c r="C22">
        <v>2023</v>
      </c>
      <c r="D22" s="54">
        <v>45289</v>
      </c>
      <c r="E22" s="42" t="s">
        <v>160</v>
      </c>
      <c r="F22" s="76" t="s">
        <v>33</v>
      </c>
      <c r="G22" s="52">
        <v>0</v>
      </c>
      <c r="H22" s="32" t="s">
        <v>169</v>
      </c>
    </row>
    <row r="23" spans="1:8" ht="18.75">
      <c r="A23" t="s">
        <v>170</v>
      </c>
      <c r="B23">
        <v>12</v>
      </c>
      <c r="C23">
        <v>2023</v>
      </c>
      <c r="D23" s="54">
        <v>45289</v>
      </c>
      <c r="E23" s="42" t="s">
        <v>160</v>
      </c>
      <c r="F23" s="76" t="s">
        <v>79</v>
      </c>
      <c r="G23" s="52">
        <v>0</v>
      </c>
      <c r="H23" s="32" t="s">
        <v>171</v>
      </c>
    </row>
    <row r="24" spans="1:8" ht="18.75">
      <c r="A24" t="s">
        <v>172</v>
      </c>
      <c r="B24">
        <v>1</v>
      </c>
      <c r="C24">
        <v>2024</v>
      </c>
      <c r="D24" s="54">
        <v>45293</v>
      </c>
      <c r="E24" s="42" t="s">
        <v>160</v>
      </c>
      <c r="F24" s="76" t="s">
        <v>49</v>
      </c>
      <c r="G24" s="52">
        <v>0</v>
      </c>
      <c r="H24" s="32" t="s">
        <v>173</v>
      </c>
    </row>
    <row r="25" spans="1:8" ht="18.75">
      <c r="A25" t="s">
        <v>174</v>
      </c>
      <c r="B25">
        <v>1</v>
      </c>
      <c r="C25">
        <v>2024</v>
      </c>
      <c r="D25" s="54">
        <v>45293</v>
      </c>
      <c r="E25" s="42" t="s">
        <v>146</v>
      </c>
      <c r="F25" s="76" t="s">
        <v>48</v>
      </c>
      <c r="G25" s="52">
        <v>0</v>
      </c>
      <c r="H25" s="32" t="s">
        <v>175</v>
      </c>
    </row>
    <row r="26" spans="1:8" ht="18.75">
      <c r="A26" t="s">
        <v>176</v>
      </c>
      <c r="B26">
        <v>1</v>
      </c>
      <c r="C26">
        <v>2024</v>
      </c>
      <c r="D26" s="54">
        <v>45293</v>
      </c>
      <c r="E26" s="42" t="s">
        <v>146</v>
      </c>
      <c r="F26" s="76" t="s">
        <v>72</v>
      </c>
      <c r="G26" s="52">
        <v>0</v>
      </c>
      <c r="H26" s="32" t="s">
        <v>177</v>
      </c>
    </row>
    <row r="27" spans="1:8" ht="18.75">
      <c r="A27" t="s">
        <v>178</v>
      </c>
      <c r="B27">
        <v>1</v>
      </c>
      <c r="C27">
        <v>2024</v>
      </c>
      <c r="D27" s="54">
        <v>45293</v>
      </c>
      <c r="E27" s="42" t="s">
        <v>126</v>
      </c>
      <c r="F27" s="76" t="s">
        <v>72</v>
      </c>
      <c r="G27" s="52">
        <v>800</v>
      </c>
      <c r="H27" s="32" t="s">
        <v>179</v>
      </c>
    </row>
    <row r="28" spans="1:8" ht="18.75">
      <c r="A28" t="s">
        <v>180</v>
      </c>
      <c r="B28">
        <v>1</v>
      </c>
      <c r="C28">
        <v>2024</v>
      </c>
      <c r="D28" s="54">
        <v>45293</v>
      </c>
      <c r="E28" s="42" t="s">
        <v>160</v>
      </c>
      <c r="F28" s="76" t="s">
        <v>72</v>
      </c>
      <c r="G28" s="52">
        <v>0</v>
      </c>
      <c r="H28" s="32" t="s">
        <v>181</v>
      </c>
    </row>
    <row r="29" spans="1:8" ht="18.75">
      <c r="A29" s="77" t="s">
        <v>182</v>
      </c>
      <c r="B29">
        <v>1</v>
      </c>
      <c r="C29">
        <v>2024</v>
      </c>
      <c r="D29" s="54">
        <v>45293</v>
      </c>
      <c r="E29" s="42" t="s">
        <v>160</v>
      </c>
      <c r="F29" s="76" t="s">
        <v>72</v>
      </c>
      <c r="G29" s="52">
        <v>0</v>
      </c>
      <c r="H29" s="32" t="s">
        <v>183</v>
      </c>
    </row>
    <row r="30" spans="1:8" ht="18.75">
      <c r="A30" t="s">
        <v>184</v>
      </c>
      <c r="B30">
        <v>1</v>
      </c>
      <c r="C30">
        <v>2024</v>
      </c>
      <c r="D30" s="54">
        <v>45293</v>
      </c>
      <c r="E30" s="42" t="s">
        <v>160</v>
      </c>
      <c r="F30" s="76" t="s">
        <v>72</v>
      </c>
      <c r="G30" s="52">
        <v>0</v>
      </c>
      <c r="H30" s="32" t="s">
        <v>185</v>
      </c>
    </row>
    <row r="31" spans="1:8" ht="18.75">
      <c r="A31" t="s">
        <v>186</v>
      </c>
      <c r="B31">
        <v>1</v>
      </c>
      <c r="C31">
        <v>2024</v>
      </c>
      <c r="D31" s="54">
        <v>45293</v>
      </c>
      <c r="E31" s="42" t="s">
        <v>160</v>
      </c>
      <c r="F31" s="76" t="s">
        <v>187</v>
      </c>
      <c r="G31" s="52">
        <v>0</v>
      </c>
      <c r="H31" s="32" t="s">
        <v>188</v>
      </c>
    </row>
    <row r="32" spans="1:8" ht="18.75">
      <c r="A32" t="s">
        <v>189</v>
      </c>
      <c r="B32">
        <v>1</v>
      </c>
      <c r="C32">
        <v>2024</v>
      </c>
      <c r="D32" s="54">
        <v>45295</v>
      </c>
      <c r="E32" s="42" t="s">
        <v>160</v>
      </c>
      <c r="F32" s="76" t="s">
        <v>79</v>
      </c>
      <c r="G32" s="52">
        <v>0</v>
      </c>
      <c r="H32" s="32" t="s">
        <v>190</v>
      </c>
    </row>
    <row r="33" spans="1:8" ht="18.75">
      <c r="A33" t="s">
        <v>191</v>
      </c>
      <c r="B33">
        <v>1</v>
      </c>
      <c r="C33">
        <v>2024</v>
      </c>
      <c r="D33" s="54">
        <v>45295</v>
      </c>
      <c r="E33" s="42" t="s">
        <v>160</v>
      </c>
      <c r="F33" s="76" t="s">
        <v>72</v>
      </c>
      <c r="G33" s="52">
        <v>0</v>
      </c>
      <c r="H33" s="32" t="s">
        <v>192</v>
      </c>
    </row>
    <row r="34" spans="1:8" ht="18.75">
      <c r="A34" t="s">
        <v>193</v>
      </c>
      <c r="B34">
        <v>1</v>
      </c>
      <c r="C34">
        <v>2024</v>
      </c>
      <c r="D34" s="54">
        <v>45295</v>
      </c>
      <c r="E34" s="42" t="s">
        <v>146</v>
      </c>
      <c r="F34" s="76" t="s">
        <v>72</v>
      </c>
      <c r="G34" s="52">
        <v>0</v>
      </c>
      <c r="H34" s="32" t="s">
        <v>194</v>
      </c>
    </row>
    <row r="35" spans="1:8" ht="18.75">
      <c r="A35" t="s">
        <v>195</v>
      </c>
      <c r="B35">
        <v>1</v>
      </c>
      <c r="C35">
        <v>2024</v>
      </c>
      <c r="D35" s="54">
        <v>45296</v>
      </c>
      <c r="E35" s="42" t="s">
        <v>160</v>
      </c>
      <c r="F35" s="76" t="s">
        <v>30</v>
      </c>
      <c r="G35" s="52">
        <v>0</v>
      </c>
      <c r="H35" s="32" t="s">
        <v>196</v>
      </c>
    </row>
    <row r="36" spans="1:8" ht="18.75">
      <c r="A36" t="s">
        <v>197</v>
      </c>
      <c r="B36">
        <v>1</v>
      </c>
      <c r="C36">
        <v>2024</v>
      </c>
      <c r="D36" s="54">
        <v>45299</v>
      </c>
      <c r="E36" s="42" t="s">
        <v>160</v>
      </c>
      <c r="F36" s="76" t="s">
        <v>49</v>
      </c>
      <c r="G36" s="52">
        <v>0</v>
      </c>
      <c r="H36" s="32" t="s">
        <v>161</v>
      </c>
    </row>
    <row r="37" spans="1:8" ht="18.75">
      <c r="A37" t="s">
        <v>198</v>
      </c>
      <c r="B37">
        <v>1</v>
      </c>
      <c r="C37">
        <v>2024</v>
      </c>
      <c r="D37" s="54">
        <v>45299</v>
      </c>
      <c r="E37" s="42" t="s">
        <v>160</v>
      </c>
      <c r="F37" s="76" t="s">
        <v>51</v>
      </c>
      <c r="G37" s="52">
        <v>0</v>
      </c>
      <c r="H37" s="32" t="s">
        <v>199</v>
      </c>
    </row>
    <row r="38" spans="1:8" ht="18.75">
      <c r="A38" t="s">
        <v>200</v>
      </c>
      <c r="B38">
        <v>1</v>
      </c>
      <c r="C38">
        <v>2024</v>
      </c>
      <c r="D38" s="54">
        <v>45299</v>
      </c>
      <c r="E38" s="42" t="s">
        <v>160</v>
      </c>
      <c r="F38" s="76" t="s">
        <v>72</v>
      </c>
      <c r="G38" s="52">
        <v>0</v>
      </c>
      <c r="H38" s="32" t="s">
        <v>201</v>
      </c>
    </row>
    <row r="39" spans="1:8" ht="18.75">
      <c r="A39" t="s">
        <v>202</v>
      </c>
      <c r="B39">
        <v>1</v>
      </c>
      <c r="C39">
        <v>2024</v>
      </c>
      <c r="D39" s="54">
        <v>45300</v>
      </c>
      <c r="E39" s="42" t="s">
        <v>160</v>
      </c>
      <c r="F39" s="76" t="s">
        <v>36</v>
      </c>
      <c r="G39" s="52">
        <v>0</v>
      </c>
      <c r="H39" s="32" t="s">
        <v>203</v>
      </c>
    </row>
    <row r="40" spans="1:8" ht="18.75">
      <c r="A40" t="s">
        <v>204</v>
      </c>
      <c r="B40">
        <v>1</v>
      </c>
      <c r="C40">
        <v>2024</v>
      </c>
      <c r="D40" s="54">
        <v>45300</v>
      </c>
      <c r="E40" s="42" t="s">
        <v>160</v>
      </c>
      <c r="F40" s="76" t="s">
        <v>43</v>
      </c>
      <c r="G40" s="52">
        <v>0</v>
      </c>
      <c r="H40" s="32" t="s">
        <v>163</v>
      </c>
    </row>
    <row r="41" spans="1:8" ht="18.75">
      <c r="A41" t="s">
        <v>205</v>
      </c>
      <c r="B41">
        <v>1</v>
      </c>
      <c r="C41">
        <v>2024</v>
      </c>
      <c r="D41" s="54">
        <v>45303</v>
      </c>
      <c r="E41" s="42" t="s">
        <v>160</v>
      </c>
      <c r="F41" s="76" t="s">
        <v>33</v>
      </c>
      <c r="G41" s="52">
        <v>0</v>
      </c>
      <c r="H41" s="32" t="s">
        <v>169</v>
      </c>
    </row>
    <row r="42" spans="1:8" ht="18.75">
      <c r="A42" t="s">
        <v>206</v>
      </c>
      <c r="B42">
        <v>1</v>
      </c>
      <c r="C42">
        <v>2024</v>
      </c>
      <c r="D42" s="54">
        <v>45303</v>
      </c>
      <c r="E42" s="42" t="s">
        <v>160</v>
      </c>
      <c r="F42" s="76" t="s">
        <v>79</v>
      </c>
      <c r="G42" s="52">
        <v>0</v>
      </c>
      <c r="H42" s="32" t="s">
        <v>171</v>
      </c>
    </row>
    <row r="43" spans="1:8" ht="18.75">
      <c r="A43" t="s">
        <v>207</v>
      </c>
      <c r="B43">
        <v>1</v>
      </c>
      <c r="C43">
        <v>2024</v>
      </c>
      <c r="D43" s="54">
        <v>45306</v>
      </c>
      <c r="E43" s="42" t="s">
        <v>160</v>
      </c>
      <c r="F43" s="76" t="s">
        <v>64</v>
      </c>
      <c r="G43" s="52">
        <v>0</v>
      </c>
      <c r="H43" s="32" t="s">
        <v>208</v>
      </c>
    </row>
    <row r="44" spans="1:8" ht="18.75">
      <c r="A44" t="s">
        <v>209</v>
      </c>
      <c r="B44">
        <v>1</v>
      </c>
      <c r="C44">
        <v>2024</v>
      </c>
      <c r="D44" s="54">
        <v>45307</v>
      </c>
      <c r="E44" s="42" t="s">
        <v>160</v>
      </c>
      <c r="F44" s="76" t="s">
        <v>51</v>
      </c>
      <c r="G44" s="52">
        <v>0</v>
      </c>
      <c r="H44" s="32" t="s">
        <v>210</v>
      </c>
    </row>
    <row r="45" spans="1:8" ht="18.75">
      <c r="A45" t="s">
        <v>211</v>
      </c>
      <c r="B45">
        <v>1</v>
      </c>
      <c r="C45">
        <v>2024</v>
      </c>
      <c r="D45" s="54">
        <v>45308</v>
      </c>
      <c r="E45" s="42" t="s">
        <v>160</v>
      </c>
      <c r="F45" s="76" t="s">
        <v>60</v>
      </c>
      <c r="G45" s="52">
        <v>0</v>
      </c>
      <c r="H45" s="32" t="s">
        <v>212</v>
      </c>
    </row>
    <row r="46" spans="1:8" ht="18.75">
      <c r="A46" t="s">
        <v>213</v>
      </c>
      <c r="B46">
        <v>1</v>
      </c>
      <c r="C46">
        <v>2024</v>
      </c>
      <c r="D46" s="54">
        <v>45309</v>
      </c>
      <c r="E46" s="42" t="s">
        <v>160</v>
      </c>
      <c r="F46" s="76" t="s">
        <v>79</v>
      </c>
      <c r="G46" s="52">
        <v>0</v>
      </c>
      <c r="H46" s="32" t="s">
        <v>214</v>
      </c>
    </row>
    <row r="47" spans="1:8" ht="18.75">
      <c r="A47" t="s">
        <v>215</v>
      </c>
      <c r="B47">
        <v>1</v>
      </c>
      <c r="C47">
        <v>2024</v>
      </c>
      <c r="D47" s="54">
        <v>45309</v>
      </c>
      <c r="E47" s="42" t="s">
        <v>160</v>
      </c>
      <c r="F47" s="76" t="s">
        <v>79</v>
      </c>
      <c r="G47" s="52">
        <v>0</v>
      </c>
      <c r="H47" s="32" t="s">
        <v>190</v>
      </c>
    </row>
    <row r="48" spans="1:8" ht="18.75">
      <c r="A48" t="s">
        <v>216</v>
      </c>
      <c r="B48">
        <v>1</v>
      </c>
      <c r="C48">
        <v>2024</v>
      </c>
      <c r="D48" s="54">
        <v>45313</v>
      </c>
      <c r="E48" s="42" t="s">
        <v>160</v>
      </c>
      <c r="F48" s="76" t="s">
        <v>49</v>
      </c>
      <c r="G48" s="52">
        <v>0</v>
      </c>
      <c r="H48" s="32" t="s">
        <v>161</v>
      </c>
    </row>
    <row r="49" spans="1:8" ht="18.75">
      <c r="A49" t="s">
        <v>217</v>
      </c>
      <c r="B49">
        <v>1</v>
      </c>
      <c r="C49">
        <v>2024</v>
      </c>
      <c r="D49" s="54">
        <v>45313</v>
      </c>
      <c r="E49" s="42" t="s">
        <v>126</v>
      </c>
      <c r="F49" s="76" t="s">
        <v>48</v>
      </c>
      <c r="G49" s="52">
        <v>0</v>
      </c>
      <c r="H49" s="32" t="s">
        <v>218</v>
      </c>
    </row>
    <row r="50" spans="1:8" ht="18.75">
      <c r="A50" t="s">
        <v>219</v>
      </c>
      <c r="B50">
        <v>1</v>
      </c>
      <c r="C50">
        <v>2024</v>
      </c>
      <c r="D50" s="54">
        <v>45313</v>
      </c>
      <c r="E50" s="42" t="s">
        <v>160</v>
      </c>
      <c r="F50" s="76" t="s">
        <v>48</v>
      </c>
      <c r="G50" s="52">
        <v>0</v>
      </c>
      <c r="H50" s="32" t="s">
        <v>220</v>
      </c>
    </row>
    <row r="51" spans="1:8" ht="18.75">
      <c r="A51" t="s">
        <v>221</v>
      </c>
      <c r="B51">
        <v>1</v>
      </c>
      <c r="C51">
        <v>2024</v>
      </c>
      <c r="D51" s="54">
        <v>45313</v>
      </c>
      <c r="E51" s="42" t="s">
        <v>126</v>
      </c>
      <c r="F51" s="76" t="s">
        <v>48</v>
      </c>
      <c r="G51" s="52">
        <v>0</v>
      </c>
      <c r="H51" s="32" t="s">
        <v>222</v>
      </c>
    </row>
    <row r="52" spans="1:8" ht="18.75">
      <c r="A52" t="s">
        <v>223</v>
      </c>
      <c r="B52">
        <v>1</v>
      </c>
      <c r="C52">
        <v>2024</v>
      </c>
      <c r="D52" s="54">
        <v>45313</v>
      </c>
      <c r="E52" s="42" t="s">
        <v>160</v>
      </c>
      <c r="F52" s="76" t="s">
        <v>63</v>
      </c>
      <c r="G52" s="52">
        <v>0</v>
      </c>
      <c r="H52" s="32" t="s">
        <v>224</v>
      </c>
    </row>
    <row r="53" spans="1:8" ht="18.75">
      <c r="A53" t="s">
        <v>225</v>
      </c>
      <c r="B53">
        <v>1</v>
      </c>
      <c r="C53">
        <v>2024</v>
      </c>
      <c r="D53" s="54">
        <v>45314</v>
      </c>
      <c r="E53" s="42" t="s">
        <v>160</v>
      </c>
      <c r="F53" s="76" t="s">
        <v>43</v>
      </c>
      <c r="G53" s="52">
        <v>0</v>
      </c>
      <c r="H53" s="32" t="s">
        <v>163</v>
      </c>
    </row>
    <row r="54" spans="1:8" ht="18.75">
      <c r="A54" t="s">
        <v>226</v>
      </c>
      <c r="B54">
        <v>1</v>
      </c>
      <c r="C54">
        <v>2024</v>
      </c>
      <c r="D54" s="54">
        <v>45315</v>
      </c>
      <c r="E54" s="42" t="s">
        <v>160</v>
      </c>
      <c r="F54" s="76" t="s">
        <v>29</v>
      </c>
      <c r="G54" s="52">
        <v>0</v>
      </c>
      <c r="H54" s="32" t="s">
        <v>167</v>
      </c>
    </row>
    <row r="55" spans="1:8" ht="18.75">
      <c r="A55" t="s">
        <v>227</v>
      </c>
      <c r="B55">
        <v>1</v>
      </c>
      <c r="C55">
        <v>2024</v>
      </c>
      <c r="D55" s="54">
        <v>45316</v>
      </c>
      <c r="E55" s="42" t="s">
        <v>160</v>
      </c>
      <c r="F55" s="76" t="s">
        <v>48</v>
      </c>
      <c r="G55" s="52">
        <v>0</v>
      </c>
      <c r="H55" s="32" t="s">
        <v>228</v>
      </c>
    </row>
    <row r="56" spans="1:8" ht="18.75">
      <c r="A56" t="s">
        <v>229</v>
      </c>
      <c r="B56">
        <v>1</v>
      </c>
      <c r="C56">
        <v>2024</v>
      </c>
      <c r="D56" s="54">
        <v>45316</v>
      </c>
      <c r="E56" s="42" t="s">
        <v>160</v>
      </c>
      <c r="F56" s="76" t="s">
        <v>48</v>
      </c>
      <c r="G56" s="52">
        <v>0</v>
      </c>
      <c r="H56" s="32" t="s">
        <v>230</v>
      </c>
    </row>
    <row r="57" spans="1:8" ht="18.75">
      <c r="A57" t="s">
        <v>231</v>
      </c>
      <c r="B57">
        <v>1</v>
      </c>
      <c r="C57">
        <v>2024</v>
      </c>
      <c r="D57" s="54">
        <v>45317</v>
      </c>
      <c r="E57" s="42" t="s">
        <v>160</v>
      </c>
      <c r="F57" s="76" t="s">
        <v>33</v>
      </c>
      <c r="G57" s="52">
        <v>0</v>
      </c>
      <c r="H57" s="32" t="s">
        <v>169</v>
      </c>
    </row>
    <row r="58" spans="1:8" ht="18.75">
      <c r="A58" t="s">
        <v>232</v>
      </c>
      <c r="B58">
        <v>1</v>
      </c>
      <c r="C58">
        <v>2024</v>
      </c>
      <c r="D58" s="54">
        <v>45317</v>
      </c>
      <c r="E58" s="42" t="s">
        <v>160</v>
      </c>
      <c r="F58" s="76" t="s">
        <v>79</v>
      </c>
      <c r="G58" s="52">
        <v>0</v>
      </c>
      <c r="H58" s="32" t="s">
        <v>171</v>
      </c>
    </row>
    <row r="59" spans="1:8" ht="18.75">
      <c r="A59" t="s">
        <v>233</v>
      </c>
      <c r="B59">
        <v>1</v>
      </c>
      <c r="C59">
        <v>2024</v>
      </c>
      <c r="D59" s="54">
        <v>45322</v>
      </c>
      <c r="E59" s="42" t="s">
        <v>146</v>
      </c>
      <c r="F59" s="76" t="s">
        <v>72</v>
      </c>
      <c r="G59" s="52">
        <v>0</v>
      </c>
      <c r="H59" s="32" t="s">
        <v>234</v>
      </c>
    </row>
    <row r="60" spans="1:8" ht="18.75">
      <c r="A60" t="s">
        <v>235</v>
      </c>
      <c r="B60">
        <v>2</v>
      </c>
      <c r="C60">
        <v>2024</v>
      </c>
      <c r="D60" s="54">
        <v>45323</v>
      </c>
      <c r="E60" s="42" t="s">
        <v>160</v>
      </c>
      <c r="F60" s="76" t="s">
        <v>49</v>
      </c>
      <c r="G60" s="52">
        <v>-50</v>
      </c>
      <c r="H60" t="s">
        <v>173</v>
      </c>
    </row>
    <row r="61" spans="1:8" ht="18.75">
      <c r="A61" t="s">
        <v>236</v>
      </c>
      <c r="B61">
        <v>2</v>
      </c>
      <c r="C61">
        <v>2024</v>
      </c>
      <c r="D61" s="54">
        <v>45323</v>
      </c>
      <c r="E61" s="42" t="s">
        <v>146</v>
      </c>
      <c r="F61" s="76" t="s">
        <v>48</v>
      </c>
      <c r="G61" s="52">
        <v>0.38</v>
      </c>
      <c r="H61" t="s">
        <v>175</v>
      </c>
    </row>
    <row r="62" spans="1:8" ht="18.75">
      <c r="A62" t="s">
        <v>237</v>
      </c>
      <c r="B62">
        <v>2</v>
      </c>
      <c r="C62">
        <v>2024</v>
      </c>
      <c r="D62" s="54">
        <v>45323</v>
      </c>
      <c r="E62" s="42" t="s">
        <v>160</v>
      </c>
      <c r="F62" s="76" t="s">
        <v>79</v>
      </c>
      <c r="G62" s="52">
        <v>1231.8399999999999</v>
      </c>
      <c r="H62" t="s">
        <v>190</v>
      </c>
    </row>
    <row r="63" spans="1:8" ht="18.75">
      <c r="A63" t="s">
        <v>238</v>
      </c>
      <c r="B63">
        <v>2</v>
      </c>
      <c r="C63">
        <v>2024</v>
      </c>
      <c r="D63" s="54">
        <v>45323</v>
      </c>
      <c r="E63" s="42" t="s">
        <v>160</v>
      </c>
      <c r="F63" s="76" t="s">
        <v>79</v>
      </c>
      <c r="G63" s="52">
        <v>206.03</v>
      </c>
      <c r="H63" t="s">
        <v>239</v>
      </c>
    </row>
    <row r="64" spans="1:8" ht="18.75">
      <c r="A64" t="s">
        <v>240</v>
      </c>
      <c r="B64">
        <v>2</v>
      </c>
      <c r="C64">
        <v>2024</v>
      </c>
      <c r="D64" s="54">
        <v>45323</v>
      </c>
      <c r="E64" s="42" t="s">
        <v>146</v>
      </c>
      <c r="F64" s="76" t="s">
        <v>79</v>
      </c>
      <c r="G64" s="52">
        <v>-206.03</v>
      </c>
      <c r="H64" t="s">
        <v>241</v>
      </c>
    </row>
    <row r="65" spans="1:8" ht="18.75">
      <c r="A65" t="s">
        <v>242</v>
      </c>
      <c r="B65">
        <v>2</v>
      </c>
      <c r="C65">
        <v>2024</v>
      </c>
      <c r="D65" s="54">
        <v>45323</v>
      </c>
      <c r="E65" s="42" t="s">
        <v>126</v>
      </c>
      <c r="F65" s="76" t="s">
        <v>72</v>
      </c>
      <c r="G65" s="52">
        <v>400</v>
      </c>
      <c r="H65" s="32" t="s">
        <v>243</v>
      </c>
    </row>
    <row r="66" spans="1:8" ht="18.75">
      <c r="A66" t="s">
        <v>244</v>
      </c>
      <c r="B66">
        <v>2</v>
      </c>
      <c r="C66">
        <v>2024</v>
      </c>
      <c r="D66" s="54">
        <v>45323</v>
      </c>
      <c r="E66" s="42" t="s">
        <v>160</v>
      </c>
      <c r="F66" s="76" t="s">
        <v>187</v>
      </c>
      <c r="G66" s="52">
        <v>-400</v>
      </c>
      <c r="H66" t="s">
        <v>245</v>
      </c>
    </row>
    <row r="67" spans="1:8" ht="18.75">
      <c r="A67" t="s">
        <v>246</v>
      </c>
      <c r="B67">
        <v>2</v>
      </c>
      <c r="C67">
        <v>2024</v>
      </c>
      <c r="D67" s="54">
        <v>45323</v>
      </c>
      <c r="E67" s="42" t="s">
        <v>160</v>
      </c>
      <c r="F67" s="76" t="s">
        <v>40</v>
      </c>
      <c r="G67" s="52">
        <v>-100</v>
      </c>
      <c r="H67" t="s">
        <v>247</v>
      </c>
    </row>
    <row r="68" spans="1:8" ht="18.75">
      <c r="A68" t="s">
        <v>248</v>
      </c>
      <c r="B68">
        <v>2</v>
      </c>
      <c r="C68">
        <v>2024</v>
      </c>
      <c r="D68" s="54">
        <v>45326</v>
      </c>
      <c r="E68" s="42" t="s">
        <v>249</v>
      </c>
      <c r="F68" s="76" t="s">
        <v>45</v>
      </c>
      <c r="G68" s="52">
        <v>-60.91</v>
      </c>
      <c r="H68" t="s">
        <v>250</v>
      </c>
    </row>
    <row r="69" spans="1:8" ht="18.75">
      <c r="A69" t="s">
        <v>251</v>
      </c>
      <c r="B69">
        <v>2</v>
      </c>
      <c r="C69">
        <v>2024</v>
      </c>
      <c r="D69" s="54">
        <v>45326</v>
      </c>
      <c r="E69" s="42" t="s">
        <v>249</v>
      </c>
      <c r="F69" s="76" t="s">
        <v>58</v>
      </c>
      <c r="G69" s="52">
        <v>-44.06</v>
      </c>
      <c r="H69" t="s">
        <v>252</v>
      </c>
    </row>
    <row r="70" spans="1:8" ht="18.75">
      <c r="A70" t="s">
        <v>253</v>
      </c>
      <c r="B70">
        <v>2</v>
      </c>
      <c r="C70">
        <v>2024</v>
      </c>
      <c r="D70" s="54">
        <v>45326</v>
      </c>
      <c r="E70" s="42" t="s">
        <v>249</v>
      </c>
      <c r="F70" s="76" t="s">
        <v>58</v>
      </c>
      <c r="G70" s="52">
        <v>-62.83</v>
      </c>
      <c r="H70" t="s">
        <v>254</v>
      </c>
    </row>
    <row r="71" spans="1:8" ht="18.75">
      <c r="A71" t="s">
        <v>255</v>
      </c>
      <c r="B71">
        <v>2</v>
      </c>
      <c r="C71">
        <v>2024</v>
      </c>
      <c r="D71" s="54">
        <v>45326</v>
      </c>
      <c r="E71" s="42" t="s">
        <v>249</v>
      </c>
      <c r="F71" s="76" t="s">
        <v>65</v>
      </c>
      <c r="G71" s="52">
        <v>-47.43</v>
      </c>
      <c r="H71" t="s">
        <v>256</v>
      </c>
    </row>
    <row r="72" spans="1:8" ht="18.75">
      <c r="A72" t="s">
        <v>257</v>
      </c>
      <c r="B72">
        <v>2</v>
      </c>
      <c r="C72">
        <v>2024</v>
      </c>
      <c r="D72" s="54">
        <v>45326</v>
      </c>
      <c r="E72" s="42" t="s">
        <v>249</v>
      </c>
      <c r="F72" s="76" t="s">
        <v>65</v>
      </c>
      <c r="G72" s="52">
        <v>-51.12</v>
      </c>
      <c r="H72" t="s">
        <v>258</v>
      </c>
    </row>
    <row r="73" spans="1:8" ht="18.75">
      <c r="A73" t="s">
        <v>259</v>
      </c>
      <c r="B73">
        <v>2</v>
      </c>
      <c r="C73">
        <v>2024</v>
      </c>
      <c r="D73" s="54">
        <v>45326</v>
      </c>
      <c r="E73" s="42" t="s">
        <v>249</v>
      </c>
      <c r="F73" s="76" t="s">
        <v>54</v>
      </c>
      <c r="G73" s="52">
        <v>-24.05</v>
      </c>
      <c r="H73" t="s">
        <v>260</v>
      </c>
    </row>
    <row r="74" spans="1:8" ht="18.75">
      <c r="A74" t="s">
        <v>261</v>
      </c>
      <c r="B74">
        <v>2</v>
      </c>
      <c r="C74">
        <v>2024</v>
      </c>
      <c r="D74" s="54">
        <v>45326</v>
      </c>
      <c r="E74" s="42" t="s">
        <v>249</v>
      </c>
      <c r="F74" s="76" t="s">
        <v>54</v>
      </c>
      <c r="G74" s="52">
        <v>-4.0999999999999996</v>
      </c>
      <c r="H74" t="s">
        <v>262</v>
      </c>
    </row>
    <row r="75" spans="1:8" ht="18.75">
      <c r="A75" t="s">
        <v>263</v>
      </c>
      <c r="B75">
        <v>2</v>
      </c>
      <c r="C75">
        <v>2024</v>
      </c>
      <c r="D75" s="54">
        <v>45326</v>
      </c>
      <c r="E75" s="42" t="s">
        <v>249</v>
      </c>
      <c r="F75" s="76" t="s">
        <v>56</v>
      </c>
      <c r="G75" s="52">
        <v>-39.36</v>
      </c>
      <c r="H75" t="s">
        <v>256</v>
      </c>
    </row>
    <row r="76" spans="1:8" ht="18.75">
      <c r="A76" t="s">
        <v>264</v>
      </c>
      <c r="B76">
        <v>2</v>
      </c>
      <c r="C76">
        <v>2024</v>
      </c>
      <c r="D76" s="54">
        <v>45326</v>
      </c>
      <c r="E76" s="42" t="s">
        <v>249</v>
      </c>
      <c r="F76" s="76" t="s">
        <v>32</v>
      </c>
      <c r="G76" s="52">
        <v>-55</v>
      </c>
      <c r="H76" t="s">
        <v>265</v>
      </c>
    </row>
    <row r="77" spans="1:8" ht="18.75">
      <c r="A77" t="s">
        <v>266</v>
      </c>
      <c r="B77">
        <v>2</v>
      </c>
      <c r="C77">
        <v>2024</v>
      </c>
      <c r="D77" s="54">
        <v>45327</v>
      </c>
      <c r="E77" s="42" t="s">
        <v>160</v>
      </c>
      <c r="F77" s="76" t="s">
        <v>49</v>
      </c>
      <c r="G77" s="52">
        <v>-50</v>
      </c>
      <c r="H77" t="s">
        <v>161</v>
      </c>
    </row>
    <row r="78" spans="1:8" ht="18.75">
      <c r="A78" t="s">
        <v>267</v>
      </c>
      <c r="B78">
        <v>2</v>
      </c>
      <c r="C78">
        <v>2024</v>
      </c>
      <c r="D78" s="54">
        <v>45327</v>
      </c>
      <c r="E78" s="42" t="s">
        <v>249</v>
      </c>
      <c r="F78" s="76" t="s">
        <v>46</v>
      </c>
      <c r="G78" s="52">
        <v>-20</v>
      </c>
      <c r="H78" t="s">
        <v>268</v>
      </c>
    </row>
    <row r="79" spans="1:8" ht="18.75">
      <c r="A79" t="s">
        <v>269</v>
      </c>
      <c r="B79">
        <v>2</v>
      </c>
      <c r="C79">
        <v>2024</v>
      </c>
      <c r="D79" s="54">
        <v>45327</v>
      </c>
      <c r="E79" s="42" t="s">
        <v>146</v>
      </c>
      <c r="F79" s="76" t="s">
        <v>79</v>
      </c>
      <c r="G79" s="52">
        <v>2110</v>
      </c>
      <c r="H79" t="s">
        <v>270</v>
      </c>
    </row>
    <row r="80" spans="1:8" ht="18.75">
      <c r="A80" t="s">
        <v>271</v>
      </c>
      <c r="B80">
        <v>2</v>
      </c>
      <c r="C80">
        <v>2024</v>
      </c>
      <c r="D80" s="54">
        <v>45327</v>
      </c>
      <c r="E80" s="42" t="s">
        <v>160</v>
      </c>
      <c r="F80" s="76" t="s">
        <v>79</v>
      </c>
      <c r="G80" s="52">
        <v>-2110</v>
      </c>
      <c r="H80" t="s">
        <v>272</v>
      </c>
    </row>
    <row r="81" spans="1:11" ht="18.75">
      <c r="A81" t="s">
        <v>273</v>
      </c>
      <c r="B81">
        <v>2</v>
      </c>
      <c r="C81">
        <v>2024</v>
      </c>
      <c r="D81" s="54">
        <v>45327</v>
      </c>
      <c r="E81" s="42" t="s">
        <v>160</v>
      </c>
      <c r="F81" s="76" t="s">
        <v>30</v>
      </c>
      <c r="G81" s="52">
        <v>-195.65</v>
      </c>
      <c r="H81" t="s">
        <v>196</v>
      </c>
    </row>
    <row r="82" spans="1:11" ht="18.75">
      <c r="A82" t="s">
        <v>274</v>
      </c>
      <c r="B82">
        <v>2</v>
      </c>
      <c r="C82">
        <v>2024</v>
      </c>
      <c r="D82" s="54">
        <v>45327</v>
      </c>
      <c r="E82" s="42" t="s">
        <v>160</v>
      </c>
      <c r="F82" s="76" t="s">
        <v>40</v>
      </c>
      <c r="G82" s="52">
        <v>-100</v>
      </c>
      <c r="H82" t="s">
        <v>275</v>
      </c>
    </row>
    <row r="83" spans="1:11" ht="18.75">
      <c r="A83" t="s">
        <v>276</v>
      </c>
      <c r="B83">
        <v>2</v>
      </c>
      <c r="C83">
        <v>2024</v>
      </c>
      <c r="D83" s="54">
        <v>45328</v>
      </c>
      <c r="E83" s="42" t="s">
        <v>160</v>
      </c>
      <c r="F83" s="76" t="s">
        <v>43</v>
      </c>
      <c r="G83" s="52">
        <v>-9.0299999999999994</v>
      </c>
      <c r="H83" t="s">
        <v>163</v>
      </c>
    </row>
    <row r="84" spans="1:11" ht="18.75">
      <c r="A84" t="s">
        <v>277</v>
      </c>
      <c r="B84">
        <v>2</v>
      </c>
      <c r="C84">
        <v>2024</v>
      </c>
      <c r="D84" s="54">
        <v>45329</v>
      </c>
      <c r="E84" s="42" t="s">
        <v>249</v>
      </c>
      <c r="F84" s="76" t="s">
        <v>42</v>
      </c>
      <c r="G84" s="52">
        <v>-25.98</v>
      </c>
      <c r="H84" t="s">
        <v>278</v>
      </c>
    </row>
    <row r="85" spans="1:11" ht="18.75">
      <c r="A85" t="s">
        <v>279</v>
      </c>
      <c r="B85">
        <v>2</v>
      </c>
      <c r="C85">
        <v>2024</v>
      </c>
      <c r="D85" s="54">
        <v>45330</v>
      </c>
      <c r="E85" s="42" t="s">
        <v>160</v>
      </c>
      <c r="F85" s="76" t="s">
        <v>51</v>
      </c>
      <c r="G85" s="52">
        <v>-125.87</v>
      </c>
      <c r="H85" t="s">
        <v>199</v>
      </c>
      <c r="I85" s="32" t="s">
        <v>280</v>
      </c>
    </row>
    <row r="86" spans="1:11" ht="18.75">
      <c r="A86" t="s">
        <v>281</v>
      </c>
      <c r="B86">
        <v>2</v>
      </c>
      <c r="C86">
        <v>2024</v>
      </c>
      <c r="D86" s="54">
        <v>45330</v>
      </c>
      <c r="E86" s="42" t="s">
        <v>249</v>
      </c>
      <c r="F86" s="76" t="s">
        <v>57</v>
      </c>
      <c r="G86" s="52">
        <v>-17.89</v>
      </c>
      <c r="H86" t="s">
        <v>282</v>
      </c>
    </row>
    <row r="87" spans="1:11" ht="18.75">
      <c r="A87" t="s">
        <v>283</v>
      </c>
      <c r="B87">
        <v>2</v>
      </c>
      <c r="C87">
        <v>2024</v>
      </c>
      <c r="D87" s="54">
        <v>45331</v>
      </c>
      <c r="E87" s="42" t="s">
        <v>160</v>
      </c>
      <c r="F87" s="76" t="s">
        <v>33</v>
      </c>
      <c r="G87" s="52">
        <v>-443.25</v>
      </c>
      <c r="H87" t="s">
        <v>169</v>
      </c>
    </row>
    <row r="88" spans="1:11" ht="18.75">
      <c r="A88" t="s">
        <v>284</v>
      </c>
      <c r="B88">
        <v>2</v>
      </c>
      <c r="C88">
        <v>2024</v>
      </c>
      <c r="D88" s="54">
        <v>45331</v>
      </c>
      <c r="E88" s="42" t="s">
        <v>249</v>
      </c>
      <c r="F88" s="76" t="s">
        <v>35</v>
      </c>
      <c r="G88" s="52">
        <v>-84.75</v>
      </c>
      <c r="H88" t="s">
        <v>285</v>
      </c>
    </row>
    <row r="89" spans="1:11" ht="18.75">
      <c r="A89" t="s">
        <v>286</v>
      </c>
      <c r="B89">
        <v>2</v>
      </c>
      <c r="C89">
        <v>2024</v>
      </c>
      <c r="D89" s="54">
        <v>45331</v>
      </c>
      <c r="E89" s="42" t="s">
        <v>160</v>
      </c>
      <c r="F89" s="76" t="s">
        <v>79</v>
      </c>
      <c r="G89" s="52">
        <v>2048.4299999999998</v>
      </c>
      <c r="H89" t="s">
        <v>171</v>
      </c>
    </row>
    <row r="90" spans="1:11" ht="18.75">
      <c r="A90" t="s">
        <v>287</v>
      </c>
      <c r="B90">
        <v>2</v>
      </c>
      <c r="C90">
        <v>2024</v>
      </c>
      <c r="D90" s="54">
        <v>45331</v>
      </c>
      <c r="E90" s="42" t="s">
        <v>249</v>
      </c>
      <c r="F90" s="76" t="s">
        <v>59</v>
      </c>
      <c r="G90" s="52">
        <v>-49.38</v>
      </c>
      <c r="H90" t="s">
        <v>288</v>
      </c>
    </row>
    <row r="91" spans="1:11" ht="18.75">
      <c r="A91" t="s">
        <v>289</v>
      </c>
      <c r="B91">
        <v>2</v>
      </c>
      <c r="C91">
        <v>2024</v>
      </c>
      <c r="D91" s="54">
        <v>45334</v>
      </c>
      <c r="E91" s="42" t="s">
        <v>160</v>
      </c>
      <c r="F91" s="76" t="s">
        <v>36</v>
      </c>
      <c r="G91" s="52">
        <v>-70.569999999999993</v>
      </c>
      <c r="H91" t="s">
        <v>290</v>
      </c>
    </row>
    <row r="92" spans="1:11" ht="18.75">
      <c r="A92" t="s">
        <v>291</v>
      </c>
      <c r="B92">
        <v>2</v>
      </c>
      <c r="C92">
        <v>2024</v>
      </c>
      <c r="D92" s="54">
        <v>45334</v>
      </c>
      <c r="E92" s="42" t="s">
        <v>249</v>
      </c>
      <c r="F92" s="76" t="s">
        <v>57</v>
      </c>
      <c r="G92" s="52">
        <v>-112</v>
      </c>
      <c r="H92" t="s">
        <v>282</v>
      </c>
    </row>
    <row r="93" spans="1:11" ht="18.75">
      <c r="A93" t="s">
        <v>292</v>
      </c>
      <c r="B93">
        <v>2</v>
      </c>
      <c r="C93">
        <v>2024</v>
      </c>
      <c r="D93" s="54">
        <v>45336</v>
      </c>
      <c r="E93" s="42" t="s">
        <v>249</v>
      </c>
      <c r="F93" s="76" t="s">
        <v>41</v>
      </c>
      <c r="G93" s="52">
        <v>-35.96</v>
      </c>
      <c r="H93" t="s">
        <v>293</v>
      </c>
    </row>
    <row r="94" spans="1:11" ht="18.75">
      <c r="A94" t="s">
        <v>294</v>
      </c>
      <c r="B94">
        <v>2</v>
      </c>
      <c r="C94">
        <v>2024</v>
      </c>
      <c r="D94" s="54">
        <v>45337</v>
      </c>
      <c r="E94" s="42" t="s">
        <v>160</v>
      </c>
      <c r="F94" s="76" t="s">
        <v>51</v>
      </c>
      <c r="G94" s="52">
        <v>-125.57</v>
      </c>
      <c r="H94" t="s">
        <v>210</v>
      </c>
      <c r="I94" s="32" t="s">
        <v>295</v>
      </c>
    </row>
    <row r="95" spans="1:11" ht="18.75">
      <c r="A95" t="s">
        <v>296</v>
      </c>
      <c r="B95">
        <v>2</v>
      </c>
      <c r="C95">
        <v>2024</v>
      </c>
      <c r="D95" s="54">
        <v>45337</v>
      </c>
      <c r="E95" s="42" t="s">
        <v>160</v>
      </c>
      <c r="F95" s="76" t="s">
        <v>64</v>
      </c>
      <c r="G95" s="52">
        <v>-280</v>
      </c>
      <c r="H95" t="s">
        <v>208</v>
      </c>
    </row>
    <row r="96" spans="1:11" ht="18.75">
      <c r="A96" t="s">
        <v>297</v>
      </c>
      <c r="B96">
        <v>2</v>
      </c>
      <c r="C96">
        <v>2024</v>
      </c>
      <c r="D96" s="54">
        <v>45337</v>
      </c>
      <c r="E96" s="42" t="s">
        <v>160</v>
      </c>
      <c r="F96" s="76" t="s">
        <v>79</v>
      </c>
      <c r="G96" s="52">
        <v>1231.8399999999999</v>
      </c>
      <c r="H96" t="s">
        <v>190</v>
      </c>
      <c r="K96" t="s">
        <v>298</v>
      </c>
    </row>
    <row r="97" spans="1:8" ht="18.75">
      <c r="A97" s="77" t="s">
        <v>299</v>
      </c>
      <c r="B97">
        <v>2</v>
      </c>
      <c r="C97">
        <v>2024</v>
      </c>
      <c r="D97" s="54">
        <v>45337</v>
      </c>
      <c r="E97" s="42" t="s">
        <v>249</v>
      </c>
      <c r="F97" s="76" t="s">
        <v>79</v>
      </c>
      <c r="G97" s="52">
        <v>-90</v>
      </c>
      <c r="H97" t="s">
        <v>300</v>
      </c>
    </row>
    <row r="98" spans="1:8" ht="18.75">
      <c r="A98" t="s">
        <v>301</v>
      </c>
      <c r="B98">
        <v>2</v>
      </c>
      <c r="C98">
        <v>2024</v>
      </c>
      <c r="D98" s="54">
        <v>45337</v>
      </c>
      <c r="E98" s="42" t="s">
        <v>249</v>
      </c>
      <c r="F98" s="76" t="s">
        <v>54</v>
      </c>
      <c r="G98" s="52">
        <v>-7.55</v>
      </c>
      <c r="H98" t="s">
        <v>302</v>
      </c>
    </row>
    <row r="99" spans="1:8" ht="18.75">
      <c r="A99" t="s">
        <v>303</v>
      </c>
      <c r="B99">
        <v>2</v>
      </c>
      <c r="C99">
        <v>2024</v>
      </c>
      <c r="D99" s="54">
        <v>45338</v>
      </c>
      <c r="E99" s="42" t="s">
        <v>249</v>
      </c>
      <c r="F99" s="76" t="s">
        <v>39</v>
      </c>
      <c r="G99" s="52">
        <v>-96.71</v>
      </c>
      <c r="H99" t="s">
        <v>304</v>
      </c>
    </row>
    <row r="100" spans="1:8" ht="18.75">
      <c r="A100" t="s">
        <v>305</v>
      </c>
      <c r="B100">
        <v>2</v>
      </c>
      <c r="C100">
        <v>2024</v>
      </c>
      <c r="D100" s="54">
        <v>45338</v>
      </c>
      <c r="E100" s="42" t="s">
        <v>249</v>
      </c>
      <c r="F100" s="76" t="s">
        <v>79</v>
      </c>
      <c r="G100" s="52">
        <v>1615.75</v>
      </c>
      <c r="H100" t="s">
        <v>306</v>
      </c>
    </row>
    <row r="101" spans="1:8" ht="18.75">
      <c r="A101" t="s">
        <v>307</v>
      </c>
      <c r="B101">
        <v>2</v>
      </c>
      <c r="C101">
        <v>2024</v>
      </c>
      <c r="D101" s="54">
        <v>45339</v>
      </c>
      <c r="E101" s="42" t="s">
        <v>249</v>
      </c>
      <c r="F101" s="76" t="s">
        <v>58</v>
      </c>
      <c r="G101" s="52">
        <v>-29.28</v>
      </c>
      <c r="H101" t="s">
        <v>308</v>
      </c>
    </row>
    <row r="102" spans="1:8" ht="18.75">
      <c r="A102" t="s">
        <v>309</v>
      </c>
      <c r="B102">
        <v>2</v>
      </c>
      <c r="C102">
        <v>2024</v>
      </c>
      <c r="D102" s="54">
        <v>45339</v>
      </c>
      <c r="E102" s="42" t="s">
        <v>249</v>
      </c>
      <c r="F102" s="76" t="s">
        <v>57</v>
      </c>
      <c r="G102" s="52">
        <v>-76.73</v>
      </c>
      <c r="H102" t="s">
        <v>310</v>
      </c>
    </row>
    <row r="103" spans="1:8" ht="18.75">
      <c r="A103" t="s">
        <v>311</v>
      </c>
      <c r="B103">
        <v>2</v>
      </c>
      <c r="C103">
        <v>2024</v>
      </c>
      <c r="D103" s="54">
        <v>45339</v>
      </c>
      <c r="E103" s="42" t="s">
        <v>249</v>
      </c>
      <c r="F103" s="76" t="s">
        <v>54</v>
      </c>
      <c r="G103" s="52">
        <v>-6.39</v>
      </c>
      <c r="H103" t="s">
        <v>312</v>
      </c>
    </row>
    <row r="104" spans="1:8" ht="18.75">
      <c r="A104" t="s">
        <v>313</v>
      </c>
      <c r="B104">
        <v>2</v>
      </c>
      <c r="C104">
        <v>2024</v>
      </c>
      <c r="D104" s="54">
        <v>45339</v>
      </c>
      <c r="E104" s="42" t="s">
        <v>249</v>
      </c>
      <c r="F104" s="76" t="s">
        <v>59</v>
      </c>
      <c r="G104" s="52">
        <v>-30.91</v>
      </c>
      <c r="H104" t="s">
        <v>314</v>
      </c>
    </row>
    <row r="105" spans="1:8" ht="18.75">
      <c r="A105" t="s">
        <v>315</v>
      </c>
      <c r="B105">
        <v>2</v>
      </c>
      <c r="C105">
        <v>2024</v>
      </c>
      <c r="D105" s="54">
        <v>45339</v>
      </c>
      <c r="E105" s="42" t="s">
        <v>249</v>
      </c>
      <c r="F105" s="76" t="s">
        <v>59</v>
      </c>
      <c r="G105" s="52">
        <v>-42</v>
      </c>
      <c r="H105" t="s">
        <v>314</v>
      </c>
    </row>
    <row r="106" spans="1:8" ht="18.75">
      <c r="A106" t="s">
        <v>316</v>
      </c>
      <c r="B106">
        <v>2</v>
      </c>
      <c r="C106">
        <v>2024</v>
      </c>
      <c r="D106" s="54">
        <v>45339</v>
      </c>
      <c r="E106" s="42" t="s">
        <v>249</v>
      </c>
      <c r="F106" s="76" t="s">
        <v>59</v>
      </c>
      <c r="G106" s="52">
        <v>-23.75</v>
      </c>
      <c r="H106" t="s">
        <v>317</v>
      </c>
    </row>
    <row r="107" spans="1:8" ht="18.75">
      <c r="A107" t="s">
        <v>318</v>
      </c>
      <c r="B107">
        <v>2</v>
      </c>
      <c r="C107">
        <v>2024</v>
      </c>
      <c r="D107" s="54">
        <v>45339</v>
      </c>
      <c r="E107" s="42" t="s">
        <v>249</v>
      </c>
      <c r="F107" s="76" t="s">
        <v>59</v>
      </c>
      <c r="G107" s="52">
        <v>-3.05</v>
      </c>
      <c r="H107" t="s">
        <v>319</v>
      </c>
    </row>
    <row r="108" spans="1:8" ht="18.75">
      <c r="A108" t="s">
        <v>320</v>
      </c>
      <c r="B108">
        <v>2</v>
      </c>
      <c r="C108">
        <v>2024</v>
      </c>
      <c r="D108" s="54">
        <v>45339</v>
      </c>
      <c r="E108" s="42" t="s">
        <v>249</v>
      </c>
      <c r="F108" s="76" t="s">
        <v>32</v>
      </c>
      <c r="G108" s="52">
        <v>-50.94</v>
      </c>
      <c r="H108" t="s">
        <v>321</v>
      </c>
    </row>
    <row r="109" spans="1:8" ht="18.75">
      <c r="A109" t="s">
        <v>322</v>
      </c>
      <c r="B109">
        <v>2</v>
      </c>
      <c r="C109">
        <v>2024</v>
      </c>
      <c r="D109" s="54">
        <v>45341</v>
      </c>
      <c r="E109" s="42" t="s">
        <v>160</v>
      </c>
      <c r="F109" s="76" t="s">
        <v>49</v>
      </c>
      <c r="G109" s="52">
        <v>-50</v>
      </c>
      <c r="H109" t="s">
        <v>161</v>
      </c>
    </row>
    <row r="110" spans="1:8" ht="18.75">
      <c r="A110" t="s">
        <v>323</v>
      </c>
      <c r="B110">
        <v>2</v>
      </c>
      <c r="C110">
        <v>2024</v>
      </c>
      <c r="D110" s="54">
        <v>45341</v>
      </c>
      <c r="E110" s="42" t="s">
        <v>160</v>
      </c>
      <c r="F110" s="76" t="s">
        <v>79</v>
      </c>
      <c r="G110" s="52">
        <v>-1615.75</v>
      </c>
      <c r="H110" t="s">
        <v>214</v>
      </c>
    </row>
    <row r="111" spans="1:8" ht="18.75">
      <c r="A111" t="s">
        <v>324</v>
      </c>
      <c r="B111">
        <v>2</v>
      </c>
      <c r="C111">
        <v>2024</v>
      </c>
      <c r="D111" s="54">
        <v>45342</v>
      </c>
      <c r="E111" s="42" t="s">
        <v>249</v>
      </c>
      <c r="F111" s="76" t="s">
        <v>79</v>
      </c>
      <c r="G111" s="52">
        <v>-73.37</v>
      </c>
      <c r="H111" t="s">
        <v>325</v>
      </c>
    </row>
    <row r="112" spans="1:8" ht="18.75">
      <c r="A112" t="s">
        <v>326</v>
      </c>
      <c r="B112">
        <v>2</v>
      </c>
      <c r="C112">
        <v>2024</v>
      </c>
      <c r="D112" s="54">
        <v>45342</v>
      </c>
      <c r="E112" s="42" t="s">
        <v>160</v>
      </c>
      <c r="F112" s="76" t="s">
        <v>43</v>
      </c>
      <c r="G112" s="52">
        <v>-9.0299999999999994</v>
      </c>
      <c r="H112" t="s">
        <v>163</v>
      </c>
    </row>
    <row r="113" spans="1:8" ht="18.75">
      <c r="A113" t="s">
        <v>327</v>
      </c>
      <c r="B113">
        <v>2</v>
      </c>
      <c r="C113">
        <v>2024</v>
      </c>
      <c r="D113" s="54">
        <v>45343</v>
      </c>
      <c r="E113" s="42" t="s">
        <v>249</v>
      </c>
      <c r="F113" s="76" t="s">
        <v>31</v>
      </c>
      <c r="G113" s="52">
        <v>-514.32000000000005</v>
      </c>
      <c r="H113" t="s">
        <v>328</v>
      </c>
    </row>
    <row r="114" spans="1:8" ht="18.75">
      <c r="A114" t="s">
        <v>329</v>
      </c>
      <c r="B114">
        <v>2</v>
      </c>
      <c r="C114">
        <v>2024</v>
      </c>
      <c r="D114" s="54">
        <v>45344</v>
      </c>
      <c r="E114" s="42" t="s">
        <v>126</v>
      </c>
      <c r="F114" s="76" t="s">
        <v>48</v>
      </c>
      <c r="G114" s="52">
        <v>0</v>
      </c>
      <c r="H114" s="32" t="s">
        <v>330</v>
      </c>
    </row>
    <row r="115" spans="1:8" ht="18.75">
      <c r="A115" t="s">
        <v>331</v>
      </c>
      <c r="B115">
        <v>2</v>
      </c>
      <c r="C115">
        <v>2024</v>
      </c>
      <c r="D115" s="54">
        <v>45344</v>
      </c>
      <c r="E115" s="42" t="s">
        <v>126</v>
      </c>
      <c r="F115" s="76" t="s">
        <v>48</v>
      </c>
      <c r="G115" s="52">
        <v>0</v>
      </c>
      <c r="H115" s="32" t="s">
        <v>332</v>
      </c>
    </row>
    <row r="116" spans="1:8" ht="18.75">
      <c r="A116" t="s">
        <v>333</v>
      </c>
      <c r="B116">
        <v>2</v>
      </c>
      <c r="C116">
        <v>2024</v>
      </c>
      <c r="D116" s="54">
        <v>45344</v>
      </c>
      <c r="E116" s="42" t="s">
        <v>160</v>
      </c>
      <c r="F116" s="76" t="s">
        <v>79</v>
      </c>
      <c r="G116" s="52">
        <v>-94</v>
      </c>
      <c r="H116" t="s">
        <v>334</v>
      </c>
    </row>
    <row r="117" spans="1:8" ht="18.75">
      <c r="A117" t="s">
        <v>335</v>
      </c>
      <c r="B117">
        <v>2</v>
      </c>
      <c r="C117">
        <v>2024</v>
      </c>
      <c r="D117" s="54">
        <v>45344</v>
      </c>
      <c r="E117" s="42" t="s">
        <v>160</v>
      </c>
      <c r="F117" s="76" t="s">
        <v>79</v>
      </c>
      <c r="G117" s="52">
        <v>94</v>
      </c>
      <c r="H117" t="s">
        <v>336</v>
      </c>
    </row>
    <row r="118" spans="1:8" ht="18.75">
      <c r="A118" t="s">
        <v>337</v>
      </c>
      <c r="B118">
        <v>2</v>
      </c>
      <c r="C118">
        <v>2024</v>
      </c>
      <c r="D118" s="54">
        <v>45344</v>
      </c>
      <c r="E118" s="42" t="s">
        <v>146</v>
      </c>
      <c r="F118" s="76" t="s">
        <v>79</v>
      </c>
      <c r="G118" s="52">
        <v>-94</v>
      </c>
      <c r="H118" t="s">
        <v>338</v>
      </c>
    </row>
    <row r="119" spans="1:8" ht="18.75">
      <c r="A119" t="s">
        <v>339</v>
      </c>
      <c r="B119">
        <v>2</v>
      </c>
      <c r="C119">
        <v>2024</v>
      </c>
      <c r="D119" s="54">
        <v>45344</v>
      </c>
      <c r="E119" s="42" t="s">
        <v>160</v>
      </c>
      <c r="F119" s="76" t="s">
        <v>63</v>
      </c>
      <c r="G119" s="52">
        <v>-111.08</v>
      </c>
      <c r="H119" t="s">
        <v>224</v>
      </c>
    </row>
    <row r="120" spans="1:8" ht="18.75">
      <c r="A120" t="s">
        <v>340</v>
      </c>
      <c r="B120">
        <v>2</v>
      </c>
      <c r="C120">
        <v>2024</v>
      </c>
      <c r="D120" s="54">
        <v>45344</v>
      </c>
      <c r="E120" s="42" t="s">
        <v>160</v>
      </c>
      <c r="F120" s="76" t="s">
        <v>60</v>
      </c>
      <c r="G120" s="52">
        <v>-96</v>
      </c>
      <c r="H120" t="s">
        <v>212</v>
      </c>
    </row>
    <row r="121" spans="1:8" ht="18.75">
      <c r="A121" t="s">
        <v>341</v>
      </c>
      <c r="B121">
        <v>2</v>
      </c>
      <c r="C121">
        <v>2024</v>
      </c>
      <c r="D121" s="54">
        <v>45344</v>
      </c>
      <c r="E121" s="42" t="s">
        <v>160</v>
      </c>
      <c r="F121" s="76" t="s">
        <v>187</v>
      </c>
      <c r="G121" s="52">
        <v>-75.75</v>
      </c>
      <c r="H121" t="s">
        <v>220</v>
      </c>
    </row>
    <row r="122" spans="1:8" ht="18.75">
      <c r="A122" t="s">
        <v>342</v>
      </c>
      <c r="B122">
        <v>2</v>
      </c>
      <c r="C122">
        <v>2024</v>
      </c>
      <c r="D122" s="54">
        <v>45345</v>
      </c>
      <c r="E122" s="42" t="s">
        <v>160</v>
      </c>
      <c r="F122" s="76" t="s">
        <v>33</v>
      </c>
      <c r="G122" s="52">
        <v>-443.25</v>
      </c>
      <c r="H122" t="s">
        <v>169</v>
      </c>
    </row>
    <row r="123" spans="1:8" ht="18.75">
      <c r="A123" t="s">
        <v>343</v>
      </c>
      <c r="B123">
        <v>2</v>
      </c>
      <c r="C123">
        <v>2024</v>
      </c>
      <c r="D123" s="54">
        <v>45345</v>
      </c>
      <c r="E123" s="42" t="s">
        <v>160</v>
      </c>
      <c r="F123" s="76" t="s">
        <v>48</v>
      </c>
      <c r="G123" s="52">
        <v>-4</v>
      </c>
      <c r="H123" t="s">
        <v>228</v>
      </c>
    </row>
    <row r="124" spans="1:8" ht="18.75">
      <c r="A124" t="s">
        <v>344</v>
      </c>
      <c r="B124">
        <v>2</v>
      </c>
      <c r="C124">
        <v>2024</v>
      </c>
      <c r="D124" s="54">
        <v>45345</v>
      </c>
      <c r="E124" s="42" t="s">
        <v>160</v>
      </c>
      <c r="F124" s="76" t="s">
        <v>48</v>
      </c>
      <c r="G124" s="52">
        <v>-6.25</v>
      </c>
      <c r="H124" t="s">
        <v>345</v>
      </c>
    </row>
    <row r="125" spans="1:8" ht="18.75">
      <c r="A125" t="s">
        <v>346</v>
      </c>
      <c r="B125">
        <v>2</v>
      </c>
      <c r="C125">
        <v>2024</v>
      </c>
      <c r="D125" s="54">
        <v>45345</v>
      </c>
      <c r="E125" s="42" t="s">
        <v>160</v>
      </c>
      <c r="F125" s="76" t="s">
        <v>79</v>
      </c>
      <c r="G125" s="52">
        <v>2048.4299999999998</v>
      </c>
      <c r="H125" t="s">
        <v>171</v>
      </c>
    </row>
    <row r="126" spans="1:8" ht="18.75">
      <c r="A126" t="s">
        <v>347</v>
      </c>
      <c r="B126">
        <v>2</v>
      </c>
      <c r="C126">
        <v>2024</v>
      </c>
      <c r="D126" s="54">
        <v>45345</v>
      </c>
      <c r="E126" s="42" t="s">
        <v>249</v>
      </c>
      <c r="F126" s="76" t="s">
        <v>54</v>
      </c>
      <c r="G126" s="52">
        <v>-34.89</v>
      </c>
      <c r="H126" t="s">
        <v>348</v>
      </c>
    </row>
    <row r="127" spans="1:8" ht="18.75">
      <c r="A127" t="s">
        <v>349</v>
      </c>
      <c r="B127">
        <v>2</v>
      </c>
      <c r="C127">
        <v>2024</v>
      </c>
      <c r="D127" s="54">
        <v>45346</v>
      </c>
      <c r="E127" s="42" t="s">
        <v>249</v>
      </c>
      <c r="F127" s="76" t="s">
        <v>52</v>
      </c>
      <c r="G127" s="52">
        <v>-29.31</v>
      </c>
      <c r="H127" t="s">
        <v>282</v>
      </c>
    </row>
    <row r="128" spans="1:8" ht="18.75">
      <c r="A128" t="s">
        <v>350</v>
      </c>
      <c r="B128">
        <v>2</v>
      </c>
      <c r="C128">
        <v>2024</v>
      </c>
      <c r="D128" s="54">
        <v>45346</v>
      </c>
      <c r="E128" s="42" t="s">
        <v>249</v>
      </c>
      <c r="F128" s="76" t="s">
        <v>57</v>
      </c>
      <c r="G128" s="52">
        <v>-120.22</v>
      </c>
      <c r="H128" t="s">
        <v>351</v>
      </c>
    </row>
    <row r="129" spans="1:9" ht="18.75">
      <c r="A129" t="s">
        <v>352</v>
      </c>
      <c r="B129">
        <v>2</v>
      </c>
      <c r="C129">
        <v>2024</v>
      </c>
      <c r="D129" s="54">
        <v>45346</v>
      </c>
      <c r="E129" s="42" t="s">
        <v>249</v>
      </c>
      <c r="F129" s="76" t="s">
        <v>54</v>
      </c>
      <c r="G129" s="52">
        <v>-2.09</v>
      </c>
      <c r="H129" t="s">
        <v>353</v>
      </c>
    </row>
    <row r="130" spans="1:9" ht="18.75">
      <c r="A130" t="s">
        <v>354</v>
      </c>
      <c r="B130">
        <v>2</v>
      </c>
      <c r="C130">
        <v>2024</v>
      </c>
      <c r="D130" s="54">
        <v>45346</v>
      </c>
      <c r="E130" s="42" t="s">
        <v>249</v>
      </c>
      <c r="F130" s="76" t="s">
        <v>59</v>
      </c>
      <c r="G130" s="52">
        <v>-26.8</v>
      </c>
      <c r="H130" t="s">
        <v>288</v>
      </c>
    </row>
    <row r="131" spans="1:9" ht="18.75">
      <c r="A131" t="s">
        <v>355</v>
      </c>
      <c r="B131">
        <v>2</v>
      </c>
      <c r="C131">
        <v>2024</v>
      </c>
      <c r="D131" s="54">
        <v>45346</v>
      </c>
      <c r="E131" s="42" t="s">
        <v>249</v>
      </c>
      <c r="F131" s="76" t="s">
        <v>55</v>
      </c>
      <c r="G131" s="52">
        <v>-296.02</v>
      </c>
      <c r="H131" t="s">
        <v>356</v>
      </c>
    </row>
    <row r="132" spans="1:9" ht="18.75">
      <c r="A132" t="s">
        <v>357</v>
      </c>
      <c r="B132">
        <v>2</v>
      </c>
      <c r="C132">
        <v>2024</v>
      </c>
      <c r="D132" s="54">
        <v>45346</v>
      </c>
      <c r="E132" s="42" t="s">
        <v>249</v>
      </c>
      <c r="F132" s="76" t="s">
        <v>32</v>
      </c>
      <c r="G132" s="52">
        <v>-59</v>
      </c>
      <c r="H132" t="s">
        <v>265</v>
      </c>
    </row>
    <row r="133" spans="1:9" ht="18.75">
      <c r="A133" t="s">
        <v>358</v>
      </c>
      <c r="B133">
        <v>2</v>
      </c>
      <c r="C133">
        <v>2024</v>
      </c>
      <c r="D133" s="54">
        <v>45350</v>
      </c>
      <c r="E133" s="42" t="s">
        <v>249</v>
      </c>
      <c r="F133" s="76" t="s">
        <v>59</v>
      </c>
      <c r="G133" s="52">
        <v>-24.84</v>
      </c>
      <c r="H133" t="s">
        <v>359</v>
      </c>
    </row>
    <row r="134" spans="1:9" ht="18.75">
      <c r="B134">
        <v>2</v>
      </c>
      <c r="C134">
        <v>2024</v>
      </c>
      <c r="D134" s="54">
        <v>45351</v>
      </c>
      <c r="E134" s="42" t="s">
        <v>146</v>
      </c>
      <c r="F134" s="76" t="s">
        <v>31</v>
      </c>
      <c r="G134" s="52">
        <v>0.1</v>
      </c>
      <c r="I134" t="s">
        <v>360</v>
      </c>
    </row>
    <row r="135" spans="1:9" ht="18.75">
      <c r="B135">
        <v>2</v>
      </c>
      <c r="C135">
        <v>2024</v>
      </c>
      <c r="D135" s="54">
        <v>45351</v>
      </c>
      <c r="E135" s="42" t="s">
        <v>160</v>
      </c>
      <c r="F135" s="76" t="s">
        <v>48</v>
      </c>
      <c r="G135" s="52">
        <v>58.25</v>
      </c>
      <c r="H135" t="s">
        <v>361</v>
      </c>
    </row>
    <row r="136" spans="1:9" ht="18.75">
      <c r="A136" t="s">
        <v>362</v>
      </c>
      <c r="B136">
        <v>2</v>
      </c>
      <c r="C136">
        <v>2024</v>
      </c>
      <c r="D136" s="54">
        <v>45351</v>
      </c>
      <c r="E136" s="42" t="s">
        <v>160</v>
      </c>
      <c r="F136" s="76" t="s">
        <v>79</v>
      </c>
      <c r="G136" s="52">
        <v>1307.1199999999999</v>
      </c>
      <c r="H136" s="32" t="s">
        <v>190</v>
      </c>
    </row>
    <row r="137" spans="1:9" ht="18.75">
      <c r="A137" t="s">
        <v>363</v>
      </c>
      <c r="B137">
        <v>2</v>
      </c>
      <c r="C137">
        <v>2024</v>
      </c>
      <c r="D137" s="54">
        <v>45351</v>
      </c>
      <c r="E137" s="42" t="s">
        <v>160</v>
      </c>
      <c r="F137" s="76" t="s">
        <v>79</v>
      </c>
      <c r="G137" s="52">
        <v>17.52</v>
      </c>
      <c r="H137" s="32" t="s">
        <v>364</v>
      </c>
    </row>
    <row r="138" spans="1:9" ht="18.75">
      <c r="A138" t="s">
        <v>365</v>
      </c>
      <c r="B138">
        <v>2</v>
      </c>
      <c r="C138">
        <v>2024</v>
      </c>
      <c r="D138" s="54">
        <v>45351</v>
      </c>
      <c r="E138" s="42" t="s">
        <v>146</v>
      </c>
      <c r="F138" s="76" t="s">
        <v>79</v>
      </c>
      <c r="G138" s="52">
        <v>-17.52</v>
      </c>
      <c r="H138" s="32" t="s">
        <v>366</v>
      </c>
    </row>
    <row r="139" spans="1:9" ht="18.75">
      <c r="B139">
        <v>2</v>
      </c>
      <c r="C139">
        <v>2024</v>
      </c>
      <c r="D139" s="54">
        <v>45351</v>
      </c>
      <c r="E139" s="42" t="s">
        <v>160</v>
      </c>
      <c r="F139" s="76" t="s">
        <v>187</v>
      </c>
      <c r="G139" s="52">
        <v>-58.25</v>
      </c>
      <c r="H139" t="s">
        <v>361</v>
      </c>
    </row>
    <row r="140" spans="1:9" ht="18.75">
      <c r="A140" t="s">
        <v>367</v>
      </c>
      <c r="B140">
        <v>3</v>
      </c>
      <c r="C140">
        <v>2024</v>
      </c>
      <c r="D140" s="54">
        <v>45352</v>
      </c>
      <c r="E140" s="42" t="s">
        <v>160</v>
      </c>
      <c r="F140" s="76" t="s">
        <v>49</v>
      </c>
      <c r="G140" s="52">
        <v>-50</v>
      </c>
      <c r="H140" s="32" t="s">
        <v>173</v>
      </c>
    </row>
    <row r="141" spans="1:9" ht="18.75">
      <c r="A141" t="s">
        <v>368</v>
      </c>
      <c r="B141">
        <v>3</v>
      </c>
      <c r="C141">
        <v>2024</v>
      </c>
      <c r="D141" s="54">
        <v>45352</v>
      </c>
      <c r="E141" s="42" t="s">
        <v>146</v>
      </c>
      <c r="F141" s="76" t="s">
        <v>48</v>
      </c>
      <c r="G141" s="52">
        <v>2.5099999999999998</v>
      </c>
      <c r="H141" s="32" t="s">
        <v>175</v>
      </c>
    </row>
    <row r="142" spans="1:9" ht="18.75">
      <c r="A142" t="s">
        <v>369</v>
      </c>
      <c r="B142">
        <v>3</v>
      </c>
      <c r="C142">
        <v>2024</v>
      </c>
      <c r="D142" s="54">
        <v>45352</v>
      </c>
      <c r="E142" s="42" t="s">
        <v>160</v>
      </c>
      <c r="F142" s="76" t="s">
        <v>79</v>
      </c>
      <c r="G142" s="52">
        <v>790.37</v>
      </c>
      <c r="H142" s="32" t="s">
        <v>370</v>
      </c>
    </row>
    <row r="143" spans="1:9" ht="18.75">
      <c r="A143" t="s">
        <v>371</v>
      </c>
      <c r="B143">
        <v>3</v>
      </c>
      <c r="C143">
        <v>2024</v>
      </c>
      <c r="D143" s="54">
        <v>45352</v>
      </c>
      <c r="E143" s="42" t="s">
        <v>146</v>
      </c>
      <c r="F143" s="76" t="s">
        <v>79</v>
      </c>
      <c r="G143" s="52">
        <v>2110</v>
      </c>
      <c r="H143" s="32" t="s">
        <v>372</v>
      </c>
    </row>
    <row r="144" spans="1:9" ht="18.75">
      <c r="A144" t="s">
        <v>373</v>
      </c>
      <c r="B144">
        <v>3</v>
      </c>
      <c r="C144">
        <v>2024</v>
      </c>
      <c r="D144" s="54">
        <v>45352</v>
      </c>
      <c r="E144" s="42" t="s">
        <v>160</v>
      </c>
      <c r="F144" s="76" t="s">
        <v>79</v>
      </c>
      <c r="G144" s="52">
        <v>73.37</v>
      </c>
      <c r="H144" s="32" t="s">
        <v>374</v>
      </c>
    </row>
    <row r="145" spans="1:9" ht="18.75">
      <c r="A145" t="s">
        <v>375</v>
      </c>
      <c r="B145">
        <v>3</v>
      </c>
      <c r="C145">
        <v>2024</v>
      </c>
      <c r="D145" s="54">
        <v>45352</v>
      </c>
      <c r="E145" s="42" t="s">
        <v>146</v>
      </c>
      <c r="F145" s="76" t="s">
        <v>79</v>
      </c>
      <c r="G145" s="52">
        <v>-790.37</v>
      </c>
      <c r="H145" s="32" t="s">
        <v>376</v>
      </c>
    </row>
    <row r="146" spans="1:9" ht="18.75">
      <c r="A146" t="s">
        <v>377</v>
      </c>
      <c r="B146">
        <v>3</v>
      </c>
      <c r="C146">
        <v>2024</v>
      </c>
      <c r="D146" s="54">
        <v>45352</v>
      </c>
      <c r="E146" s="42" t="s">
        <v>160</v>
      </c>
      <c r="F146" s="76" t="s">
        <v>79</v>
      </c>
      <c r="G146" s="52">
        <v>-2110</v>
      </c>
      <c r="H146" s="32" t="s">
        <v>378</v>
      </c>
    </row>
    <row r="147" spans="1:9" ht="18.75">
      <c r="A147" t="s">
        <v>379</v>
      </c>
      <c r="B147">
        <v>3</v>
      </c>
      <c r="C147">
        <v>2024</v>
      </c>
      <c r="D147" s="54">
        <v>45352</v>
      </c>
      <c r="E147" s="42" t="s">
        <v>249</v>
      </c>
      <c r="F147" s="76" t="s">
        <v>54</v>
      </c>
      <c r="G147" s="52">
        <v>-12.18</v>
      </c>
      <c r="H147" s="32" t="s">
        <v>380</v>
      </c>
    </row>
    <row r="148" spans="1:9" ht="18.75">
      <c r="A148" t="s">
        <v>381</v>
      </c>
      <c r="B148">
        <v>3</v>
      </c>
      <c r="C148">
        <v>2024</v>
      </c>
      <c r="D148" s="54">
        <v>45352</v>
      </c>
      <c r="E148" s="42" t="s">
        <v>160</v>
      </c>
      <c r="F148" s="76" t="s">
        <v>187</v>
      </c>
      <c r="G148" s="52">
        <v>-400</v>
      </c>
      <c r="H148" s="32" t="s">
        <v>382</v>
      </c>
    </row>
    <row r="149" spans="1:9" ht="18.75">
      <c r="A149" t="s">
        <v>383</v>
      </c>
      <c r="B149">
        <v>3</v>
      </c>
      <c r="C149">
        <v>2024</v>
      </c>
      <c r="D149" s="54">
        <v>45352</v>
      </c>
      <c r="E149" s="42" t="s">
        <v>126</v>
      </c>
      <c r="F149" s="76" t="s">
        <v>187</v>
      </c>
      <c r="G149" s="52">
        <v>400</v>
      </c>
      <c r="H149" s="32" t="s">
        <v>384</v>
      </c>
    </row>
    <row r="150" spans="1:9" ht="18.75">
      <c r="A150" t="s">
        <v>385</v>
      </c>
      <c r="B150">
        <v>3</v>
      </c>
      <c r="C150">
        <v>2024</v>
      </c>
      <c r="D150" s="54">
        <v>45352</v>
      </c>
      <c r="E150" s="42" t="s">
        <v>249</v>
      </c>
      <c r="F150" s="76" t="s">
        <v>44</v>
      </c>
      <c r="G150" s="52">
        <v>-51.72</v>
      </c>
      <c r="H150" s="32" t="s">
        <v>386</v>
      </c>
    </row>
    <row r="151" spans="1:9" ht="18.75">
      <c r="A151" t="s">
        <v>387</v>
      </c>
      <c r="B151">
        <v>3</v>
      </c>
      <c r="C151">
        <v>2024</v>
      </c>
      <c r="D151" s="54">
        <v>45352</v>
      </c>
      <c r="E151" s="42" t="s">
        <v>160</v>
      </c>
      <c r="F151" s="76" t="s">
        <v>40</v>
      </c>
      <c r="G151" s="52">
        <v>-100</v>
      </c>
      <c r="H151" s="32" t="s">
        <v>388</v>
      </c>
    </row>
    <row r="152" spans="1:9" ht="18.75">
      <c r="A152" t="s">
        <v>389</v>
      </c>
      <c r="B152">
        <v>3</v>
      </c>
      <c r="C152">
        <v>2024</v>
      </c>
      <c r="D152" s="54">
        <v>45352</v>
      </c>
      <c r="E152" s="42" t="s">
        <v>160</v>
      </c>
      <c r="F152" s="76" t="s">
        <v>40</v>
      </c>
      <c r="G152" s="52">
        <v>-100</v>
      </c>
      <c r="H152" s="32" t="s">
        <v>390</v>
      </c>
    </row>
    <row r="153" spans="1:9" ht="18.75">
      <c r="A153" t="s">
        <v>391</v>
      </c>
      <c r="B153">
        <v>3</v>
      </c>
      <c r="C153">
        <v>2024</v>
      </c>
      <c r="D153" s="54">
        <v>45353</v>
      </c>
      <c r="E153" s="42" t="s">
        <v>249</v>
      </c>
      <c r="F153" s="76" t="s">
        <v>57</v>
      </c>
      <c r="G153" s="52">
        <v>-141.94</v>
      </c>
      <c r="H153" s="32" t="s">
        <v>351</v>
      </c>
    </row>
    <row r="154" spans="1:9" ht="18.75">
      <c r="A154" t="s">
        <v>392</v>
      </c>
      <c r="B154">
        <v>3</v>
      </c>
      <c r="C154">
        <v>2024</v>
      </c>
      <c r="D154" s="54">
        <v>45354</v>
      </c>
      <c r="E154" s="42" t="s">
        <v>249</v>
      </c>
      <c r="F154" s="76" t="s">
        <v>31</v>
      </c>
      <c r="G154" s="52">
        <v>-45.2</v>
      </c>
      <c r="H154" s="32" t="s">
        <v>393</v>
      </c>
      <c r="I154" s="32" t="s">
        <v>394</v>
      </c>
    </row>
    <row r="155" spans="1:9" ht="18.75">
      <c r="A155" t="s">
        <v>395</v>
      </c>
      <c r="B155">
        <v>3</v>
      </c>
      <c r="C155">
        <v>2024</v>
      </c>
      <c r="D155" s="54">
        <v>45355</v>
      </c>
      <c r="E155" s="42" t="s">
        <v>160</v>
      </c>
      <c r="F155" s="76" t="s">
        <v>49</v>
      </c>
      <c r="G155" s="52">
        <v>-50</v>
      </c>
      <c r="H155" s="32" t="s">
        <v>161</v>
      </c>
    </row>
    <row r="156" spans="1:9" ht="18.75">
      <c r="A156" t="s">
        <v>396</v>
      </c>
      <c r="B156">
        <v>3</v>
      </c>
      <c r="C156">
        <v>2024</v>
      </c>
      <c r="D156" s="54">
        <v>45355</v>
      </c>
      <c r="E156" s="42" t="s">
        <v>249</v>
      </c>
      <c r="F156" s="76" t="s">
        <v>57</v>
      </c>
      <c r="G156" s="52">
        <v>-21.46</v>
      </c>
      <c r="H156" s="32" t="s">
        <v>310</v>
      </c>
    </row>
    <row r="157" spans="1:9" ht="18.75">
      <c r="A157" t="s">
        <v>397</v>
      </c>
      <c r="B157">
        <v>3</v>
      </c>
      <c r="C157">
        <v>2024</v>
      </c>
      <c r="D157" s="54">
        <v>45355</v>
      </c>
      <c r="E157" s="42" t="s">
        <v>160</v>
      </c>
      <c r="F157" s="76" t="s">
        <v>29</v>
      </c>
      <c r="G157" s="52">
        <v>-225.75</v>
      </c>
      <c r="H157" s="32" t="s">
        <v>167</v>
      </c>
    </row>
    <row r="158" spans="1:9" ht="18.75">
      <c r="A158" t="s">
        <v>398</v>
      </c>
      <c r="B158">
        <v>3</v>
      </c>
      <c r="C158">
        <v>2024</v>
      </c>
      <c r="D158" s="54">
        <v>45356</v>
      </c>
      <c r="E158" s="42" t="s">
        <v>249</v>
      </c>
      <c r="F158" s="76" t="s">
        <v>399</v>
      </c>
      <c r="G158" s="52">
        <v>-35</v>
      </c>
      <c r="H158" s="32" t="s">
        <v>400</v>
      </c>
    </row>
    <row r="159" spans="1:9" ht="18.75">
      <c r="A159" t="s">
        <v>401</v>
      </c>
      <c r="B159">
        <v>3</v>
      </c>
      <c r="C159">
        <v>2024</v>
      </c>
      <c r="D159" s="54">
        <v>45356</v>
      </c>
      <c r="E159" s="42" t="s">
        <v>249</v>
      </c>
      <c r="F159" s="76" t="s">
        <v>79</v>
      </c>
      <c r="G159" s="52">
        <v>90</v>
      </c>
      <c r="H159" s="32" t="s">
        <v>402</v>
      </c>
    </row>
    <row r="160" spans="1:9" ht="18.75">
      <c r="A160" t="s">
        <v>403</v>
      </c>
      <c r="B160">
        <v>3</v>
      </c>
      <c r="C160">
        <v>2024</v>
      </c>
      <c r="D160" s="54">
        <v>45356</v>
      </c>
      <c r="E160" s="42" t="s">
        <v>160</v>
      </c>
      <c r="F160" s="76" t="s">
        <v>43</v>
      </c>
      <c r="G160" s="52">
        <v>-9.0299999999999994</v>
      </c>
      <c r="H160" s="32" t="s">
        <v>163</v>
      </c>
    </row>
    <row r="161" spans="1:8" ht="18.75">
      <c r="A161" t="s">
        <v>404</v>
      </c>
      <c r="B161">
        <v>3</v>
      </c>
      <c r="C161">
        <v>2024</v>
      </c>
      <c r="D161" s="54">
        <v>45357</v>
      </c>
      <c r="E161" s="42" t="s">
        <v>249</v>
      </c>
      <c r="F161" s="76" t="s">
        <v>31</v>
      </c>
      <c r="G161" s="52">
        <v>-103.04</v>
      </c>
      <c r="H161" s="32" t="s">
        <v>405</v>
      </c>
    </row>
    <row r="162" spans="1:8" ht="18.75">
      <c r="A162" t="s">
        <v>406</v>
      </c>
      <c r="B162">
        <v>3</v>
      </c>
      <c r="C162">
        <v>2024</v>
      </c>
      <c r="D162" s="54">
        <v>45357</v>
      </c>
      <c r="E162" s="42" t="s">
        <v>249</v>
      </c>
      <c r="F162" s="76" t="s">
        <v>31</v>
      </c>
      <c r="G162" s="52">
        <v>-4.6100000000000003</v>
      </c>
      <c r="H162" s="32" t="s">
        <v>312</v>
      </c>
    </row>
    <row r="163" spans="1:8" ht="18.75">
      <c r="A163" t="s">
        <v>407</v>
      </c>
      <c r="B163">
        <v>3</v>
      </c>
      <c r="C163">
        <v>2024</v>
      </c>
      <c r="D163" s="54">
        <v>45357</v>
      </c>
      <c r="E163" s="42" t="s">
        <v>249</v>
      </c>
      <c r="F163" s="76" t="s">
        <v>66</v>
      </c>
      <c r="G163" s="52">
        <v>-22.6</v>
      </c>
      <c r="H163" s="32" t="s">
        <v>408</v>
      </c>
    </row>
    <row r="164" spans="1:8" ht="18.75">
      <c r="A164" t="s">
        <v>409</v>
      </c>
      <c r="B164">
        <v>3</v>
      </c>
      <c r="C164">
        <v>2024</v>
      </c>
      <c r="D164" s="54">
        <v>45357</v>
      </c>
      <c r="E164" s="42" t="s">
        <v>249</v>
      </c>
      <c r="F164" s="76" t="s">
        <v>62</v>
      </c>
      <c r="G164" s="52">
        <v>-61.08</v>
      </c>
      <c r="H164" s="32" t="s">
        <v>410</v>
      </c>
    </row>
    <row r="165" spans="1:8" ht="18.75">
      <c r="A165" t="s">
        <v>411</v>
      </c>
      <c r="B165">
        <v>3</v>
      </c>
      <c r="C165">
        <v>2024</v>
      </c>
      <c r="D165" s="54">
        <v>45358</v>
      </c>
      <c r="E165" s="42" t="s">
        <v>249</v>
      </c>
      <c r="F165" s="76" t="s">
        <v>31</v>
      </c>
      <c r="G165" s="52">
        <v>-14.79</v>
      </c>
      <c r="H165" s="32" t="s">
        <v>412</v>
      </c>
    </row>
    <row r="166" spans="1:8" ht="18.75">
      <c r="A166" t="s">
        <v>413</v>
      </c>
      <c r="B166">
        <v>3</v>
      </c>
      <c r="C166">
        <v>2024</v>
      </c>
      <c r="D166" s="54">
        <v>45358</v>
      </c>
      <c r="E166" s="42" t="s">
        <v>249</v>
      </c>
      <c r="F166" s="76" t="s">
        <v>31</v>
      </c>
      <c r="G166" s="52">
        <v>-14.99</v>
      </c>
      <c r="H166" s="32" t="s">
        <v>414</v>
      </c>
    </row>
    <row r="167" spans="1:8" ht="18.75">
      <c r="A167" t="s">
        <v>415</v>
      </c>
      <c r="B167">
        <v>3</v>
      </c>
      <c r="C167">
        <v>2024</v>
      </c>
      <c r="D167" s="54">
        <v>45358</v>
      </c>
      <c r="E167" s="42" t="s">
        <v>249</v>
      </c>
      <c r="F167" s="76" t="s">
        <v>31</v>
      </c>
      <c r="G167" s="52">
        <v>-119.31</v>
      </c>
      <c r="H167" s="32" t="s">
        <v>416</v>
      </c>
    </row>
    <row r="168" spans="1:8" ht="18.75">
      <c r="A168" t="s">
        <v>417</v>
      </c>
      <c r="B168">
        <v>3</v>
      </c>
      <c r="C168">
        <v>2024</v>
      </c>
      <c r="D168" s="54">
        <v>45358</v>
      </c>
      <c r="E168" s="42" t="s">
        <v>249</v>
      </c>
      <c r="F168" s="76" t="s">
        <v>31</v>
      </c>
      <c r="G168" s="52">
        <v>-19.96</v>
      </c>
      <c r="H168" s="32" t="s">
        <v>418</v>
      </c>
    </row>
    <row r="169" spans="1:8" ht="18.75">
      <c r="A169" t="s">
        <v>419</v>
      </c>
      <c r="B169">
        <v>3</v>
      </c>
      <c r="C169">
        <v>2024</v>
      </c>
      <c r="D169" s="54">
        <v>45358</v>
      </c>
      <c r="E169" s="42" t="s">
        <v>249</v>
      </c>
      <c r="F169" s="76" t="s">
        <v>31</v>
      </c>
      <c r="G169" s="52">
        <v>-15.61</v>
      </c>
      <c r="H169" s="32" t="s">
        <v>420</v>
      </c>
    </row>
    <row r="170" spans="1:8" ht="18.75">
      <c r="A170" t="s">
        <v>421</v>
      </c>
      <c r="B170">
        <v>3</v>
      </c>
      <c r="C170">
        <v>2024</v>
      </c>
      <c r="D170" s="54">
        <v>45358</v>
      </c>
      <c r="E170" s="42" t="s">
        <v>249</v>
      </c>
      <c r="F170" s="76" t="s">
        <v>42</v>
      </c>
      <c r="G170" s="52">
        <v>-25.98</v>
      </c>
      <c r="H170" s="32" t="s">
        <v>278</v>
      </c>
    </row>
    <row r="171" spans="1:8" ht="18.75">
      <c r="A171" t="s">
        <v>422</v>
      </c>
      <c r="B171">
        <v>3</v>
      </c>
      <c r="C171">
        <v>2024</v>
      </c>
      <c r="D171" s="54">
        <v>45358</v>
      </c>
      <c r="E171" s="42" t="s">
        <v>249</v>
      </c>
      <c r="F171" s="76" t="s">
        <v>32</v>
      </c>
      <c r="G171" s="52">
        <v>-57.56</v>
      </c>
      <c r="H171" s="32" t="s">
        <v>423</v>
      </c>
    </row>
    <row r="172" spans="1:8" ht="18.75">
      <c r="A172" t="s">
        <v>424</v>
      </c>
      <c r="B172">
        <v>3</v>
      </c>
      <c r="C172">
        <v>2024</v>
      </c>
      <c r="D172" s="54">
        <v>45358</v>
      </c>
      <c r="E172" s="42" t="s">
        <v>249</v>
      </c>
      <c r="F172" s="76" t="s">
        <v>32</v>
      </c>
      <c r="G172" s="52">
        <v>-45.1</v>
      </c>
      <c r="H172" s="32" t="s">
        <v>425</v>
      </c>
    </row>
    <row r="173" spans="1:8" ht="18.75">
      <c r="A173" t="s">
        <v>426</v>
      </c>
      <c r="B173">
        <v>3</v>
      </c>
      <c r="C173">
        <v>2024</v>
      </c>
      <c r="D173" s="54">
        <v>45359</v>
      </c>
      <c r="E173" s="42" t="s">
        <v>249</v>
      </c>
      <c r="F173" s="76" t="s">
        <v>31</v>
      </c>
      <c r="G173" s="52">
        <v>-36.1</v>
      </c>
      <c r="H173" s="32" t="s">
        <v>427</v>
      </c>
    </row>
    <row r="174" spans="1:8" ht="18.75">
      <c r="A174" t="s">
        <v>428</v>
      </c>
      <c r="B174">
        <v>3</v>
      </c>
      <c r="C174">
        <v>2024</v>
      </c>
      <c r="D174" s="54">
        <v>45359</v>
      </c>
      <c r="E174" s="42" t="s">
        <v>249</v>
      </c>
      <c r="F174" s="76" t="s">
        <v>31</v>
      </c>
      <c r="G174" s="52">
        <v>-11.78</v>
      </c>
      <c r="H174" s="32" t="s">
        <v>429</v>
      </c>
    </row>
    <row r="175" spans="1:8" ht="18.75">
      <c r="A175" t="s">
        <v>430</v>
      </c>
      <c r="B175">
        <v>3</v>
      </c>
      <c r="C175">
        <v>2024</v>
      </c>
      <c r="D175" s="54">
        <v>45359</v>
      </c>
      <c r="E175" s="42" t="s">
        <v>249</v>
      </c>
      <c r="F175" s="76" t="s">
        <v>31</v>
      </c>
      <c r="G175" s="52">
        <v>-7.2</v>
      </c>
      <c r="H175" s="32" t="s">
        <v>431</v>
      </c>
    </row>
    <row r="176" spans="1:8" ht="18.75">
      <c r="A176" t="s">
        <v>432</v>
      </c>
      <c r="B176">
        <v>3</v>
      </c>
      <c r="C176">
        <v>2024</v>
      </c>
      <c r="D176" s="54">
        <v>45359</v>
      </c>
      <c r="E176" s="42" t="s">
        <v>249</v>
      </c>
      <c r="F176" s="76" t="s">
        <v>31</v>
      </c>
      <c r="G176" s="52">
        <v>65.58</v>
      </c>
      <c r="H176" s="32" t="s">
        <v>433</v>
      </c>
    </row>
    <row r="177" spans="1:8" ht="18.75">
      <c r="A177" t="s">
        <v>434</v>
      </c>
      <c r="B177">
        <v>3</v>
      </c>
      <c r="C177">
        <v>2024</v>
      </c>
      <c r="D177" s="54">
        <v>45359</v>
      </c>
      <c r="E177" s="42" t="s">
        <v>160</v>
      </c>
      <c r="F177" s="76" t="s">
        <v>51</v>
      </c>
      <c r="G177" s="52">
        <v>-125.87</v>
      </c>
      <c r="H177" s="32" t="s">
        <v>199</v>
      </c>
    </row>
    <row r="178" spans="1:8" ht="18.75">
      <c r="A178" t="s">
        <v>435</v>
      </c>
      <c r="B178">
        <v>3</v>
      </c>
      <c r="C178">
        <v>2024</v>
      </c>
      <c r="D178" s="54">
        <v>45359</v>
      </c>
      <c r="E178" s="42" t="s">
        <v>160</v>
      </c>
      <c r="F178" s="76" t="s">
        <v>33</v>
      </c>
      <c r="G178" s="52">
        <v>-443.25</v>
      </c>
      <c r="H178" s="32" t="s">
        <v>169</v>
      </c>
    </row>
    <row r="179" spans="1:8" ht="18.75">
      <c r="A179" t="s">
        <v>436</v>
      </c>
      <c r="B179">
        <v>3</v>
      </c>
      <c r="C179">
        <v>2024</v>
      </c>
      <c r="D179" s="54">
        <v>45359</v>
      </c>
      <c r="E179" s="42" t="s">
        <v>160</v>
      </c>
      <c r="F179" s="76" t="s">
        <v>79</v>
      </c>
      <c r="G179" s="52">
        <v>2046.79</v>
      </c>
      <c r="H179" s="32" t="s">
        <v>171</v>
      </c>
    </row>
    <row r="180" spans="1:8" ht="18.75">
      <c r="A180" t="s">
        <v>437</v>
      </c>
      <c r="B180">
        <v>3</v>
      </c>
      <c r="C180">
        <v>2024</v>
      </c>
      <c r="D180" s="54">
        <v>45359</v>
      </c>
      <c r="E180" s="42" t="s">
        <v>249</v>
      </c>
      <c r="F180" s="76" t="s">
        <v>32</v>
      </c>
      <c r="G180" s="52">
        <v>-45.18</v>
      </c>
      <c r="H180" s="32" t="s">
        <v>438</v>
      </c>
    </row>
    <row r="181" spans="1:8" ht="18.75">
      <c r="A181" t="s">
        <v>439</v>
      </c>
      <c r="B181">
        <v>3</v>
      </c>
      <c r="C181">
        <v>2024</v>
      </c>
      <c r="D181" s="54">
        <v>45360</v>
      </c>
      <c r="E181" s="42" t="s">
        <v>249</v>
      </c>
      <c r="F181" s="76" t="s">
        <v>31</v>
      </c>
      <c r="G181" s="52">
        <v>-69.3</v>
      </c>
      <c r="H181" s="32" t="s">
        <v>440</v>
      </c>
    </row>
    <row r="182" spans="1:8" ht="18.75">
      <c r="A182" t="s">
        <v>441</v>
      </c>
      <c r="B182">
        <v>3</v>
      </c>
      <c r="C182">
        <v>2024</v>
      </c>
      <c r="D182" s="54">
        <v>45360</v>
      </c>
      <c r="E182" s="42" t="s">
        <v>249</v>
      </c>
      <c r="F182" s="76" t="s">
        <v>50</v>
      </c>
      <c r="G182" s="52">
        <v>-169.71</v>
      </c>
      <c r="H182" s="32" t="s">
        <v>442</v>
      </c>
    </row>
    <row r="183" spans="1:8" ht="18.75">
      <c r="A183" t="s">
        <v>443</v>
      </c>
      <c r="B183">
        <v>3</v>
      </c>
      <c r="C183">
        <v>2024</v>
      </c>
      <c r="D183" s="54">
        <v>45361</v>
      </c>
      <c r="E183" s="42" t="s">
        <v>249</v>
      </c>
      <c r="F183" s="76" t="s">
        <v>31</v>
      </c>
      <c r="G183" s="52">
        <v>-33.479999999999997</v>
      </c>
      <c r="H183" s="32" t="s">
        <v>444</v>
      </c>
    </row>
    <row r="184" spans="1:8" ht="18.75">
      <c r="A184" t="s">
        <v>445</v>
      </c>
      <c r="B184">
        <v>3</v>
      </c>
      <c r="C184">
        <v>2024</v>
      </c>
      <c r="D184" s="54">
        <v>45361</v>
      </c>
      <c r="E184" s="42" t="s">
        <v>249</v>
      </c>
      <c r="F184" s="76" t="s">
        <v>31</v>
      </c>
      <c r="G184" s="52">
        <v>-53.26</v>
      </c>
      <c r="H184" s="32" t="s">
        <v>446</v>
      </c>
    </row>
    <row r="185" spans="1:8" ht="18.75">
      <c r="A185" t="s">
        <v>447</v>
      </c>
      <c r="B185">
        <v>3</v>
      </c>
      <c r="C185">
        <v>2024</v>
      </c>
      <c r="D185" s="54">
        <v>45362</v>
      </c>
      <c r="E185" s="42" t="s">
        <v>249</v>
      </c>
      <c r="F185" s="76" t="s">
        <v>31</v>
      </c>
      <c r="G185" s="52">
        <v>-26.9</v>
      </c>
      <c r="H185" s="32" t="s">
        <v>448</v>
      </c>
    </row>
    <row r="186" spans="1:8" ht="18.75">
      <c r="A186" t="s">
        <v>449</v>
      </c>
      <c r="B186">
        <v>3</v>
      </c>
      <c r="C186">
        <v>2024</v>
      </c>
      <c r="D186" s="54">
        <v>45362</v>
      </c>
      <c r="E186" s="42" t="s">
        <v>249</v>
      </c>
      <c r="F186" s="76" t="s">
        <v>31</v>
      </c>
      <c r="G186" s="52">
        <v>-22.66</v>
      </c>
      <c r="H186" s="32" t="s">
        <v>450</v>
      </c>
    </row>
    <row r="187" spans="1:8" ht="18.75">
      <c r="A187" t="s">
        <v>451</v>
      </c>
      <c r="B187">
        <v>3</v>
      </c>
      <c r="C187">
        <v>2024</v>
      </c>
      <c r="D187" s="54">
        <v>45362</v>
      </c>
      <c r="E187" s="42" t="s">
        <v>249</v>
      </c>
      <c r="F187" s="76" t="s">
        <v>31</v>
      </c>
      <c r="G187" s="52">
        <v>-17.510000000000002</v>
      </c>
      <c r="H187" s="32" t="s">
        <v>452</v>
      </c>
    </row>
    <row r="188" spans="1:8" ht="18.75">
      <c r="A188" t="s">
        <v>453</v>
      </c>
      <c r="B188">
        <v>3</v>
      </c>
      <c r="C188">
        <v>2024</v>
      </c>
      <c r="D188" s="54">
        <v>45362</v>
      </c>
      <c r="E188" s="42" t="s">
        <v>249</v>
      </c>
      <c r="F188" s="76" t="s">
        <v>31</v>
      </c>
      <c r="G188" s="52">
        <v>-17.489999999999998</v>
      </c>
      <c r="H188" s="32" t="s">
        <v>454</v>
      </c>
    </row>
    <row r="189" spans="1:8" ht="18.75">
      <c r="A189" t="s">
        <v>455</v>
      </c>
      <c r="B189">
        <v>3</v>
      </c>
      <c r="C189">
        <v>2024</v>
      </c>
      <c r="D189" s="54">
        <v>45362</v>
      </c>
      <c r="E189" s="42" t="s">
        <v>249</v>
      </c>
      <c r="F189" s="76" t="s">
        <v>31</v>
      </c>
      <c r="G189" s="52">
        <v>-34.72</v>
      </c>
      <c r="H189" s="32" t="s">
        <v>456</v>
      </c>
    </row>
    <row r="190" spans="1:8" ht="18.75">
      <c r="A190" t="s">
        <v>457</v>
      </c>
      <c r="B190">
        <v>3</v>
      </c>
      <c r="C190">
        <v>2024</v>
      </c>
      <c r="D190" s="54">
        <v>45362</v>
      </c>
      <c r="E190" s="42" t="s">
        <v>249</v>
      </c>
      <c r="F190" s="76" t="s">
        <v>35</v>
      </c>
      <c r="G190" s="52">
        <v>-84.75</v>
      </c>
      <c r="H190" s="32" t="s">
        <v>285</v>
      </c>
    </row>
    <row r="191" spans="1:8" ht="18.75">
      <c r="A191" t="s">
        <v>458</v>
      </c>
      <c r="B191">
        <v>3</v>
      </c>
      <c r="C191">
        <v>2024</v>
      </c>
      <c r="D191" s="54">
        <v>45363</v>
      </c>
      <c r="E191" s="42" t="s">
        <v>249</v>
      </c>
      <c r="F191" s="76" t="s">
        <v>31</v>
      </c>
      <c r="G191" s="52">
        <v>-61.85</v>
      </c>
      <c r="H191" s="32" t="s">
        <v>459</v>
      </c>
    </row>
    <row r="192" spans="1:8" ht="18.75">
      <c r="A192" t="s">
        <v>460</v>
      </c>
      <c r="B192">
        <v>3</v>
      </c>
      <c r="C192">
        <v>2024</v>
      </c>
      <c r="D192" s="54">
        <v>45364</v>
      </c>
      <c r="E192" s="42" t="s">
        <v>249</v>
      </c>
      <c r="F192" s="76" t="s">
        <v>31</v>
      </c>
      <c r="G192" s="52">
        <v>-9.07</v>
      </c>
      <c r="H192" s="32" t="s">
        <v>461</v>
      </c>
    </row>
    <row r="193" spans="1:8" ht="18.75">
      <c r="A193" t="s">
        <v>462</v>
      </c>
      <c r="B193">
        <v>3</v>
      </c>
      <c r="C193">
        <v>2024</v>
      </c>
      <c r="D193" s="54">
        <v>45364</v>
      </c>
      <c r="E193" s="42" t="s">
        <v>249</v>
      </c>
      <c r="F193" s="76" t="s">
        <v>31</v>
      </c>
      <c r="G193" s="52">
        <v>-152.97999999999999</v>
      </c>
      <c r="H193" s="32" t="s">
        <v>463</v>
      </c>
    </row>
    <row r="194" spans="1:8" ht="18.75">
      <c r="A194" t="s">
        <v>464</v>
      </c>
      <c r="B194">
        <v>3</v>
      </c>
      <c r="C194">
        <v>2024</v>
      </c>
      <c r="D194" s="54">
        <v>45364</v>
      </c>
      <c r="E194" s="42" t="s">
        <v>160</v>
      </c>
      <c r="F194" s="76" t="s">
        <v>30</v>
      </c>
      <c r="G194" s="52">
        <v>-214.91</v>
      </c>
      <c r="H194" s="32" t="s">
        <v>196</v>
      </c>
    </row>
    <row r="195" spans="1:8" ht="18.75">
      <c r="A195" t="s">
        <v>465</v>
      </c>
      <c r="B195">
        <v>3</v>
      </c>
      <c r="C195">
        <v>2024</v>
      </c>
      <c r="D195" s="54">
        <v>45365</v>
      </c>
      <c r="E195" s="42" t="s">
        <v>249</v>
      </c>
      <c r="F195" s="76" t="s">
        <v>31</v>
      </c>
      <c r="G195" s="52">
        <v>-29.26</v>
      </c>
      <c r="H195" s="32" t="s">
        <v>466</v>
      </c>
    </row>
    <row r="196" spans="1:8" ht="18.75">
      <c r="A196" t="s">
        <v>467</v>
      </c>
      <c r="B196">
        <v>3</v>
      </c>
      <c r="C196">
        <v>2024</v>
      </c>
      <c r="D196" s="54">
        <v>45365</v>
      </c>
      <c r="E196" s="42" t="s">
        <v>249</v>
      </c>
      <c r="F196" s="76" t="s">
        <v>31</v>
      </c>
      <c r="G196" s="52">
        <v>-30.12</v>
      </c>
      <c r="H196" s="32" t="s">
        <v>468</v>
      </c>
    </row>
    <row r="197" spans="1:8" ht="18.75">
      <c r="A197" t="s">
        <v>469</v>
      </c>
      <c r="B197">
        <v>3</v>
      </c>
      <c r="C197">
        <v>2024</v>
      </c>
      <c r="D197" s="54">
        <v>45365</v>
      </c>
      <c r="E197" s="42" t="s">
        <v>249</v>
      </c>
      <c r="F197" s="76" t="s">
        <v>31</v>
      </c>
      <c r="G197" s="52">
        <v>-129.94999999999999</v>
      </c>
      <c r="H197" s="32" t="s">
        <v>470</v>
      </c>
    </row>
    <row r="198" spans="1:8" ht="18.75">
      <c r="A198" t="s">
        <v>471</v>
      </c>
      <c r="B198">
        <v>3</v>
      </c>
      <c r="C198">
        <v>2024</v>
      </c>
      <c r="D198" s="54">
        <v>45365</v>
      </c>
      <c r="E198" s="42" t="s">
        <v>160</v>
      </c>
      <c r="F198" s="76" t="s">
        <v>79</v>
      </c>
      <c r="G198" s="52">
        <v>1234.54</v>
      </c>
      <c r="H198" s="32" t="s">
        <v>190</v>
      </c>
    </row>
    <row r="199" spans="1:8" ht="18.75">
      <c r="A199" t="s">
        <v>472</v>
      </c>
      <c r="B199">
        <v>3</v>
      </c>
      <c r="C199">
        <v>2024</v>
      </c>
      <c r="D199" s="54">
        <v>45365</v>
      </c>
      <c r="E199" s="42" t="s">
        <v>249</v>
      </c>
      <c r="F199" s="76" t="s">
        <v>32</v>
      </c>
      <c r="G199" s="52">
        <v>-46.09</v>
      </c>
      <c r="H199" s="32" t="s">
        <v>473</v>
      </c>
    </row>
    <row r="200" spans="1:8" ht="18.75">
      <c r="A200" t="s">
        <v>474</v>
      </c>
      <c r="B200">
        <v>3</v>
      </c>
      <c r="C200">
        <v>2024</v>
      </c>
      <c r="D200" s="54">
        <v>45365</v>
      </c>
      <c r="E200" s="42" t="s">
        <v>249</v>
      </c>
      <c r="F200" s="76" t="s">
        <v>32</v>
      </c>
      <c r="G200" s="52">
        <v>-51.45</v>
      </c>
      <c r="H200" s="32" t="s">
        <v>475</v>
      </c>
    </row>
    <row r="201" spans="1:8" ht="18.75">
      <c r="A201" t="s">
        <v>476</v>
      </c>
      <c r="B201">
        <v>3</v>
      </c>
      <c r="C201">
        <v>2024</v>
      </c>
      <c r="D201" s="54">
        <v>45366</v>
      </c>
      <c r="E201" s="42" t="s">
        <v>249</v>
      </c>
      <c r="F201" s="76" t="s">
        <v>31</v>
      </c>
      <c r="G201" s="52">
        <v>-35.57</v>
      </c>
      <c r="H201" s="32" t="s">
        <v>477</v>
      </c>
    </row>
    <row r="202" spans="1:8" ht="18.75">
      <c r="A202" t="s">
        <v>478</v>
      </c>
      <c r="B202">
        <v>3</v>
      </c>
      <c r="C202">
        <v>2024</v>
      </c>
      <c r="D202" s="54">
        <v>45366</v>
      </c>
      <c r="E202" s="42" t="s">
        <v>249</v>
      </c>
      <c r="F202" s="76" t="s">
        <v>31</v>
      </c>
      <c r="G202" s="52">
        <v>-91.69</v>
      </c>
      <c r="H202" s="32" t="s">
        <v>479</v>
      </c>
    </row>
    <row r="203" spans="1:8" ht="18.75">
      <c r="A203" t="s">
        <v>480</v>
      </c>
      <c r="B203">
        <v>3</v>
      </c>
      <c r="C203">
        <v>2024</v>
      </c>
      <c r="D203" s="54">
        <v>45366</v>
      </c>
      <c r="E203" s="42" t="s">
        <v>249</v>
      </c>
      <c r="F203" s="76" t="s">
        <v>31</v>
      </c>
      <c r="G203" s="52">
        <v>-17.989999999999998</v>
      </c>
      <c r="H203" s="32" t="s">
        <v>481</v>
      </c>
    </row>
    <row r="204" spans="1:8" ht="18.75">
      <c r="A204" t="s">
        <v>482</v>
      </c>
      <c r="B204">
        <v>3</v>
      </c>
      <c r="C204">
        <v>2024</v>
      </c>
      <c r="D204" s="54">
        <v>45366</v>
      </c>
      <c r="E204" s="42" t="s">
        <v>249</v>
      </c>
      <c r="F204" s="76" t="s">
        <v>31</v>
      </c>
      <c r="G204" s="52">
        <v>-20.48</v>
      </c>
      <c r="H204" s="32" t="s">
        <v>483</v>
      </c>
    </row>
    <row r="205" spans="1:8" ht="18.75">
      <c r="A205" t="s">
        <v>484</v>
      </c>
      <c r="B205">
        <v>3</v>
      </c>
      <c r="C205">
        <v>2024</v>
      </c>
      <c r="D205" s="54">
        <v>45366</v>
      </c>
      <c r="E205" s="42" t="s">
        <v>249</v>
      </c>
      <c r="F205" s="76" t="s">
        <v>31</v>
      </c>
      <c r="G205" s="52">
        <v>-22.61</v>
      </c>
      <c r="H205" s="32" t="s">
        <v>485</v>
      </c>
    </row>
    <row r="206" spans="1:8" ht="18.75">
      <c r="A206" t="s">
        <v>486</v>
      </c>
      <c r="B206">
        <v>3</v>
      </c>
      <c r="C206">
        <v>2024</v>
      </c>
      <c r="D206" s="54">
        <v>45366</v>
      </c>
      <c r="E206" s="42" t="s">
        <v>249</v>
      </c>
      <c r="F206" s="76" t="s">
        <v>31</v>
      </c>
      <c r="G206" s="52">
        <v>-23.19</v>
      </c>
      <c r="H206" s="32" t="s">
        <v>487</v>
      </c>
    </row>
    <row r="207" spans="1:8" ht="18.75">
      <c r="A207" t="s">
        <v>488</v>
      </c>
      <c r="B207">
        <v>3</v>
      </c>
      <c r="C207">
        <v>2024</v>
      </c>
      <c r="D207" s="54">
        <v>45366</v>
      </c>
      <c r="E207" s="42" t="s">
        <v>249</v>
      </c>
      <c r="F207" s="76" t="s">
        <v>31</v>
      </c>
      <c r="G207" s="52">
        <v>-3.9</v>
      </c>
      <c r="H207" s="32" t="s">
        <v>489</v>
      </c>
    </row>
    <row r="208" spans="1:8" ht="18.75">
      <c r="A208" t="s">
        <v>490</v>
      </c>
      <c r="B208">
        <v>3</v>
      </c>
      <c r="C208">
        <v>2024</v>
      </c>
      <c r="D208" s="54">
        <v>45366</v>
      </c>
      <c r="E208" s="42" t="s">
        <v>249</v>
      </c>
      <c r="F208" s="76" t="s">
        <v>31</v>
      </c>
      <c r="G208" s="52">
        <v>-30.96</v>
      </c>
      <c r="H208" s="32" t="s">
        <v>491</v>
      </c>
    </row>
    <row r="209" spans="1:8" ht="18.75">
      <c r="A209" t="s">
        <v>492</v>
      </c>
      <c r="B209">
        <v>3</v>
      </c>
      <c r="C209">
        <v>2024</v>
      </c>
      <c r="D209" s="54">
        <v>45366</v>
      </c>
      <c r="E209" s="42" t="s">
        <v>249</v>
      </c>
      <c r="F209" s="76" t="s">
        <v>31</v>
      </c>
      <c r="G209" s="52">
        <v>-24.12</v>
      </c>
      <c r="H209" s="32" t="s">
        <v>493</v>
      </c>
    </row>
    <row r="210" spans="1:8" ht="18.75">
      <c r="A210" t="s">
        <v>494</v>
      </c>
      <c r="B210">
        <v>3</v>
      </c>
      <c r="C210">
        <v>2024</v>
      </c>
      <c r="D210" s="54">
        <v>45366</v>
      </c>
      <c r="E210" s="42" t="s">
        <v>160</v>
      </c>
      <c r="F210" s="76" t="s">
        <v>51</v>
      </c>
      <c r="G210" s="52">
        <v>-125.57</v>
      </c>
      <c r="H210" s="32" t="s">
        <v>210</v>
      </c>
    </row>
    <row r="211" spans="1:8" ht="18.75">
      <c r="A211" t="s">
        <v>495</v>
      </c>
      <c r="B211">
        <v>3</v>
      </c>
      <c r="C211">
        <v>2024</v>
      </c>
      <c r="D211" s="54">
        <v>45366</v>
      </c>
      <c r="E211" s="42" t="s">
        <v>160</v>
      </c>
      <c r="F211" s="76" t="s">
        <v>64</v>
      </c>
      <c r="G211" s="52">
        <v>-280</v>
      </c>
      <c r="H211" s="32" t="s">
        <v>208</v>
      </c>
    </row>
    <row r="212" spans="1:8" ht="18.75">
      <c r="A212" t="s">
        <v>496</v>
      </c>
      <c r="B212">
        <v>3</v>
      </c>
      <c r="C212">
        <v>2024</v>
      </c>
      <c r="D212" s="54">
        <v>45366</v>
      </c>
      <c r="E212" s="42" t="s">
        <v>249</v>
      </c>
      <c r="F212" s="76" t="s">
        <v>32</v>
      </c>
      <c r="G212" s="52">
        <v>-52.8</v>
      </c>
      <c r="H212" s="32" t="s">
        <v>497</v>
      </c>
    </row>
    <row r="213" spans="1:8" ht="18.75">
      <c r="A213" t="s">
        <v>498</v>
      </c>
      <c r="B213">
        <v>3</v>
      </c>
      <c r="C213">
        <v>2024</v>
      </c>
      <c r="D213" s="54">
        <v>45367</v>
      </c>
      <c r="E213" s="42" t="s">
        <v>249</v>
      </c>
      <c r="F213" s="76" t="s">
        <v>31</v>
      </c>
      <c r="G213" s="52">
        <v>-15.49</v>
      </c>
      <c r="H213" s="32" t="s">
        <v>499</v>
      </c>
    </row>
    <row r="214" spans="1:8" ht="18.75">
      <c r="A214" t="s">
        <v>500</v>
      </c>
      <c r="B214">
        <v>3</v>
      </c>
      <c r="C214">
        <v>2024</v>
      </c>
      <c r="D214" s="54">
        <v>45367</v>
      </c>
      <c r="E214" s="42" t="s">
        <v>249</v>
      </c>
      <c r="F214" s="76" t="s">
        <v>31</v>
      </c>
      <c r="G214" s="52">
        <v>-69.67</v>
      </c>
      <c r="H214" s="32" t="s">
        <v>501</v>
      </c>
    </row>
    <row r="215" spans="1:8" ht="18.75">
      <c r="B215">
        <v>3</v>
      </c>
      <c r="C215">
        <v>2024</v>
      </c>
      <c r="D215" s="54">
        <v>45367</v>
      </c>
      <c r="E215" s="42" t="s">
        <v>146</v>
      </c>
      <c r="F215" s="76" t="s">
        <v>31</v>
      </c>
      <c r="G215" s="52">
        <v>2.31</v>
      </c>
      <c r="H215" s="32" t="s">
        <v>502</v>
      </c>
    </row>
    <row r="216" spans="1:8" ht="18.75">
      <c r="A216" t="s">
        <v>503</v>
      </c>
      <c r="B216">
        <v>3</v>
      </c>
      <c r="C216">
        <v>2024</v>
      </c>
      <c r="D216" s="54">
        <v>45367</v>
      </c>
      <c r="E216" s="42" t="s">
        <v>249</v>
      </c>
      <c r="F216" s="76" t="s">
        <v>31</v>
      </c>
      <c r="G216" s="52">
        <v>-4.8</v>
      </c>
      <c r="H216" s="32" t="s">
        <v>504</v>
      </c>
    </row>
    <row r="217" spans="1:8" ht="18.75">
      <c r="A217" t="s">
        <v>505</v>
      </c>
      <c r="B217">
        <v>3</v>
      </c>
      <c r="C217">
        <v>2024</v>
      </c>
      <c r="D217" s="54">
        <v>45367</v>
      </c>
      <c r="E217" s="42" t="s">
        <v>249</v>
      </c>
      <c r="F217" s="76" t="s">
        <v>31</v>
      </c>
      <c r="G217" s="52">
        <v>-6.5</v>
      </c>
      <c r="H217" s="32" t="s">
        <v>506</v>
      </c>
    </row>
    <row r="218" spans="1:8" ht="18.75">
      <c r="A218" t="s">
        <v>507</v>
      </c>
      <c r="B218">
        <v>3</v>
      </c>
      <c r="C218">
        <v>2024</v>
      </c>
      <c r="D218" s="54">
        <v>45367</v>
      </c>
      <c r="E218" s="42" t="s">
        <v>249</v>
      </c>
      <c r="F218" s="76" t="s">
        <v>31</v>
      </c>
      <c r="G218" s="52">
        <v>-4.1900000000000004</v>
      </c>
      <c r="H218" s="32" t="s">
        <v>508</v>
      </c>
    </row>
    <row r="219" spans="1:8" ht="18.75">
      <c r="A219" t="s">
        <v>509</v>
      </c>
      <c r="B219">
        <v>3</v>
      </c>
      <c r="C219">
        <v>2024</v>
      </c>
      <c r="D219" s="54">
        <v>45367</v>
      </c>
      <c r="E219" s="42" t="s">
        <v>249</v>
      </c>
      <c r="F219" s="76" t="s">
        <v>31</v>
      </c>
      <c r="G219" s="52">
        <v>-7.33</v>
      </c>
      <c r="H219" s="32" t="s">
        <v>510</v>
      </c>
    </row>
    <row r="220" spans="1:8" ht="18.75">
      <c r="A220" t="s">
        <v>511</v>
      </c>
      <c r="B220">
        <v>3</v>
      </c>
      <c r="C220">
        <v>2024</v>
      </c>
      <c r="D220" s="54">
        <v>45367</v>
      </c>
      <c r="E220" s="42" t="s">
        <v>249</v>
      </c>
      <c r="F220" s="76" t="s">
        <v>31</v>
      </c>
      <c r="G220" s="52">
        <v>-2.5099999999999998</v>
      </c>
      <c r="H220" s="32" t="s">
        <v>512</v>
      </c>
    </row>
    <row r="221" spans="1:8" ht="18.75">
      <c r="A221" t="s">
        <v>513</v>
      </c>
      <c r="B221">
        <v>3</v>
      </c>
      <c r="C221">
        <v>2024</v>
      </c>
      <c r="D221" s="54">
        <v>45367</v>
      </c>
      <c r="E221" s="42" t="s">
        <v>249</v>
      </c>
      <c r="F221" s="76" t="s">
        <v>31</v>
      </c>
      <c r="G221" s="52">
        <v>-121.12</v>
      </c>
      <c r="H221" s="32" t="s">
        <v>514</v>
      </c>
    </row>
    <row r="222" spans="1:8" ht="18.75">
      <c r="A222" t="s">
        <v>515</v>
      </c>
      <c r="B222">
        <v>3</v>
      </c>
      <c r="C222">
        <v>2024</v>
      </c>
      <c r="D222" s="54">
        <v>45367</v>
      </c>
      <c r="E222" s="42" t="s">
        <v>249</v>
      </c>
      <c r="F222" s="76" t="s">
        <v>39</v>
      </c>
      <c r="G222" s="52">
        <v>-96.71</v>
      </c>
      <c r="H222" s="32" t="s">
        <v>304</v>
      </c>
    </row>
    <row r="223" spans="1:8" ht="18.75">
      <c r="A223" t="s">
        <v>516</v>
      </c>
      <c r="B223">
        <v>3</v>
      </c>
      <c r="C223">
        <v>2024</v>
      </c>
      <c r="D223" s="54">
        <v>45367</v>
      </c>
      <c r="E223" s="42" t="s">
        <v>249</v>
      </c>
      <c r="F223" s="76" t="s">
        <v>32</v>
      </c>
      <c r="G223" s="52">
        <v>-46.84</v>
      </c>
      <c r="H223" s="32" t="s">
        <v>517</v>
      </c>
    </row>
    <row r="224" spans="1:8" ht="18.75">
      <c r="A224" t="s">
        <v>518</v>
      </c>
      <c r="B224">
        <v>3</v>
      </c>
      <c r="C224">
        <v>2024</v>
      </c>
      <c r="D224" s="54">
        <v>45367</v>
      </c>
      <c r="E224" s="42" t="s">
        <v>249</v>
      </c>
      <c r="F224" s="76" t="s">
        <v>32</v>
      </c>
      <c r="G224" s="52">
        <v>-31.5</v>
      </c>
      <c r="H224" s="32" t="s">
        <v>519</v>
      </c>
    </row>
    <row r="225" spans="1:8" ht="18.75">
      <c r="A225" t="s">
        <v>520</v>
      </c>
      <c r="B225">
        <v>3</v>
      </c>
      <c r="C225">
        <v>2024</v>
      </c>
      <c r="D225" s="54">
        <v>45367</v>
      </c>
      <c r="E225" s="42" t="s">
        <v>249</v>
      </c>
      <c r="F225" s="76" t="s">
        <v>62</v>
      </c>
      <c r="G225" s="52">
        <v>-312.72000000000003</v>
      </c>
      <c r="H225" s="32" t="s">
        <v>521</v>
      </c>
    </row>
    <row r="226" spans="1:8" ht="18.75">
      <c r="A226" t="s">
        <v>522</v>
      </c>
      <c r="B226">
        <v>3</v>
      </c>
      <c r="C226">
        <v>2024</v>
      </c>
      <c r="D226" s="54">
        <v>45368</v>
      </c>
      <c r="E226" s="42" t="s">
        <v>249</v>
      </c>
      <c r="F226" s="76" t="s">
        <v>55</v>
      </c>
      <c r="G226" s="52">
        <v>-36.159999999999997</v>
      </c>
      <c r="H226" s="32" t="s">
        <v>523</v>
      </c>
    </row>
    <row r="227" spans="1:8" ht="18.75">
      <c r="A227" t="s">
        <v>524</v>
      </c>
      <c r="B227">
        <v>3</v>
      </c>
      <c r="C227">
        <v>2024</v>
      </c>
      <c r="D227" s="54">
        <v>45369</v>
      </c>
      <c r="E227" s="42" t="s">
        <v>249</v>
      </c>
      <c r="F227" s="76" t="s">
        <v>58</v>
      </c>
      <c r="G227" s="52">
        <v>-23.35</v>
      </c>
      <c r="H227" s="32" t="s">
        <v>525</v>
      </c>
    </row>
    <row r="228" spans="1:8" ht="18.75">
      <c r="A228" t="s">
        <v>526</v>
      </c>
      <c r="B228">
        <v>3</v>
      </c>
      <c r="C228">
        <v>2024</v>
      </c>
      <c r="D228" s="54">
        <v>45369</v>
      </c>
      <c r="E228" s="42" t="s">
        <v>160</v>
      </c>
      <c r="F228" s="76" t="s">
        <v>36</v>
      </c>
      <c r="G228" s="52">
        <v>-67.3</v>
      </c>
      <c r="H228" s="32" t="s">
        <v>527</v>
      </c>
    </row>
    <row r="229" spans="1:8" ht="18.75">
      <c r="A229" t="s">
        <v>528</v>
      </c>
      <c r="B229">
        <v>3</v>
      </c>
      <c r="C229">
        <v>2024</v>
      </c>
      <c r="D229" s="54">
        <v>45369</v>
      </c>
      <c r="E229" s="42" t="s">
        <v>160</v>
      </c>
      <c r="F229" s="76" t="s">
        <v>49</v>
      </c>
      <c r="G229" s="52">
        <v>-50</v>
      </c>
      <c r="H229" s="32" t="s">
        <v>161</v>
      </c>
    </row>
    <row r="230" spans="1:8" ht="18.75">
      <c r="A230" t="s">
        <v>529</v>
      </c>
      <c r="B230">
        <v>3</v>
      </c>
      <c r="C230">
        <v>2024</v>
      </c>
      <c r="D230" s="54">
        <v>45369</v>
      </c>
      <c r="E230" s="42" t="s">
        <v>249</v>
      </c>
      <c r="F230" s="76" t="s">
        <v>52</v>
      </c>
      <c r="G230" s="52">
        <v>-22.5</v>
      </c>
      <c r="H230" s="32" t="s">
        <v>282</v>
      </c>
    </row>
    <row r="231" spans="1:8" ht="18.75">
      <c r="A231" t="s">
        <v>530</v>
      </c>
      <c r="B231">
        <v>3</v>
      </c>
      <c r="C231">
        <v>2024</v>
      </c>
      <c r="D231" s="54">
        <v>45369</v>
      </c>
      <c r="E231" s="42" t="s">
        <v>249</v>
      </c>
      <c r="F231" s="76" t="s">
        <v>79</v>
      </c>
      <c r="G231" s="52">
        <v>2426.37</v>
      </c>
      <c r="H231" s="32" t="s">
        <v>306</v>
      </c>
    </row>
    <row r="232" spans="1:8" ht="18.75">
      <c r="A232" t="s">
        <v>531</v>
      </c>
      <c r="B232">
        <v>3</v>
      </c>
      <c r="C232">
        <v>2024</v>
      </c>
      <c r="D232" s="54">
        <v>45369</v>
      </c>
      <c r="E232" s="42" t="s">
        <v>160</v>
      </c>
      <c r="F232" s="76" t="s">
        <v>60</v>
      </c>
      <c r="G232" s="52">
        <v>-96</v>
      </c>
      <c r="H232" s="32" t="s">
        <v>212</v>
      </c>
    </row>
    <row r="233" spans="1:8" ht="18.75">
      <c r="A233" t="s">
        <v>532</v>
      </c>
      <c r="B233">
        <v>3</v>
      </c>
      <c r="C233">
        <v>2024</v>
      </c>
      <c r="D233" s="54">
        <v>45369</v>
      </c>
      <c r="E233" s="42" t="s">
        <v>249</v>
      </c>
      <c r="F233" s="76" t="s">
        <v>57</v>
      </c>
      <c r="G233" s="52">
        <v>-130.33000000000001</v>
      </c>
      <c r="H233" s="32" t="s">
        <v>351</v>
      </c>
    </row>
    <row r="234" spans="1:8" ht="18.75">
      <c r="A234" t="s">
        <v>533</v>
      </c>
      <c r="B234">
        <v>3</v>
      </c>
      <c r="C234">
        <v>2024</v>
      </c>
      <c r="D234" s="54">
        <v>45370</v>
      </c>
      <c r="E234" s="42" t="s">
        <v>160</v>
      </c>
      <c r="F234" s="76" t="s">
        <v>79</v>
      </c>
      <c r="G234" s="52">
        <v>-2426.37</v>
      </c>
      <c r="H234" s="32" t="s">
        <v>214</v>
      </c>
    </row>
    <row r="235" spans="1:8" ht="18.75">
      <c r="A235" t="s">
        <v>534</v>
      </c>
      <c r="B235">
        <v>3</v>
      </c>
      <c r="C235">
        <v>2024</v>
      </c>
      <c r="D235" s="54">
        <v>45370</v>
      </c>
      <c r="E235" s="42" t="s">
        <v>160</v>
      </c>
      <c r="F235" s="76" t="s">
        <v>43</v>
      </c>
      <c r="G235" s="52">
        <v>-9.0299999999999994</v>
      </c>
      <c r="H235" s="32" t="s">
        <v>163</v>
      </c>
    </row>
    <row r="236" spans="1:8" ht="18.75">
      <c r="A236" t="s">
        <v>535</v>
      </c>
      <c r="B236">
        <v>3</v>
      </c>
      <c r="C236">
        <v>2024</v>
      </c>
      <c r="D236" s="54">
        <v>45373</v>
      </c>
      <c r="E236" s="42" t="s">
        <v>160</v>
      </c>
      <c r="F236" s="76" t="s">
        <v>33</v>
      </c>
      <c r="G236" s="52">
        <v>-443.25</v>
      </c>
      <c r="H236" s="32" t="s">
        <v>169</v>
      </c>
    </row>
    <row r="237" spans="1:8" ht="18.75">
      <c r="A237" t="s">
        <v>536</v>
      </c>
      <c r="B237">
        <v>3</v>
      </c>
      <c r="C237">
        <v>2024</v>
      </c>
      <c r="D237" s="54">
        <v>45373</v>
      </c>
      <c r="E237" s="42" t="s">
        <v>126</v>
      </c>
      <c r="F237" s="76" t="s">
        <v>48</v>
      </c>
      <c r="G237" s="52">
        <v>0</v>
      </c>
      <c r="H237" s="32" t="s">
        <v>537</v>
      </c>
    </row>
    <row r="238" spans="1:8" ht="18.75">
      <c r="A238" t="s">
        <v>538</v>
      </c>
      <c r="B238">
        <v>3</v>
      </c>
      <c r="C238">
        <v>2024</v>
      </c>
      <c r="D238" s="54">
        <v>45373</v>
      </c>
      <c r="E238" s="42" t="s">
        <v>126</v>
      </c>
      <c r="F238" s="76" t="s">
        <v>48</v>
      </c>
      <c r="G238" s="52">
        <v>0</v>
      </c>
      <c r="H238" s="32" t="s">
        <v>539</v>
      </c>
    </row>
    <row r="239" spans="1:8" ht="18.75">
      <c r="A239" t="s">
        <v>540</v>
      </c>
      <c r="B239">
        <v>3</v>
      </c>
      <c r="C239">
        <v>2024</v>
      </c>
      <c r="D239" s="54">
        <v>45373</v>
      </c>
      <c r="E239" s="42" t="s">
        <v>160</v>
      </c>
      <c r="F239" s="76" t="s">
        <v>79</v>
      </c>
      <c r="G239" s="52">
        <v>2046.79</v>
      </c>
      <c r="H239" s="32" t="s">
        <v>171</v>
      </c>
    </row>
    <row r="240" spans="1:8" ht="18.75">
      <c r="A240" t="s">
        <v>541</v>
      </c>
      <c r="B240">
        <v>3</v>
      </c>
      <c r="C240">
        <v>2024</v>
      </c>
      <c r="D240" s="54">
        <v>45373</v>
      </c>
      <c r="E240" s="42" t="s">
        <v>160</v>
      </c>
      <c r="F240" s="76" t="s">
        <v>63</v>
      </c>
      <c r="G240" s="52">
        <v>-113.19</v>
      </c>
      <c r="H240" s="32" t="s">
        <v>224</v>
      </c>
    </row>
    <row r="241" spans="1:9" ht="18.75">
      <c r="A241" t="s">
        <v>542</v>
      </c>
      <c r="B241">
        <v>3</v>
      </c>
      <c r="C241">
        <v>2024</v>
      </c>
      <c r="D241" s="54">
        <v>45373</v>
      </c>
      <c r="E241" s="42" t="s">
        <v>249</v>
      </c>
      <c r="F241" s="76" t="s">
        <v>59</v>
      </c>
      <c r="G241" s="52">
        <v>-23.27</v>
      </c>
      <c r="H241" s="32" t="s">
        <v>288</v>
      </c>
    </row>
    <row r="242" spans="1:9" ht="18.75">
      <c r="A242" t="s">
        <v>543</v>
      </c>
      <c r="B242">
        <v>3</v>
      </c>
      <c r="C242">
        <v>2024</v>
      </c>
      <c r="D242" s="54">
        <v>45373</v>
      </c>
      <c r="E242" s="42" t="s">
        <v>160</v>
      </c>
      <c r="F242" s="76" t="s">
        <v>187</v>
      </c>
      <c r="G242" s="52">
        <v>-66.569999999999993</v>
      </c>
      <c r="H242" s="32" t="s">
        <v>220</v>
      </c>
    </row>
    <row r="243" spans="1:9" ht="18.75">
      <c r="A243" t="s">
        <v>544</v>
      </c>
      <c r="B243">
        <v>3</v>
      </c>
      <c r="C243">
        <v>2024</v>
      </c>
      <c r="D243" s="54">
        <v>45374</v>
      </c>
      <c r="E243" s="42" t="s">
        <v>249</v>
      </c>
      <c r="F243" s="76" t="s">
        <v>53</v>
      </c>
      <c r="G243" s="52">
        <v>-407.92</v>
      </c>
      <c r="H243" s="32" t="s">
        <v>545</v>
      </c>
    </row>
    <row r="244" spans="1:9" ht="18.75">
      <c r="A244" t="s">
        <v>546</v>
      </c>
      <c r="B244">
        <v>3</v>
      </c>
      <c r="C244">
        <v>2024</v>
      </c>
      <c r="D244" s="54">
        <v>45374</v>
      </c>
      <c r="E244" s="42" t="s">
        <v>249</v>
      </c>
      <c r="F244" s="76" t="s">
        <v>52</v>
      </c>
      <c r="G244" s="52">
        <v>-29.36</v>
      </c>
      <c r="H244" s="32" t="s">
        <v>547</v>
      </c>
    </row>
    <row r="245" spans="1:9" ht="18.75">
      <c r="A245" t="s">
        <v>548</v>
      </c>
      <c r="B245">
        <v>3</v>
      </c>
      <c r="C245">
        <v>2024</v>
      </c>
      <c r="D245" s="54">
        <v>45374</v>
      </c>
      <c r="E245" s="42" t="s">
        <v>249</v>
      </c>
      <c r="F245" s="76" t="s">
        <v>79</v>
      </c>
      <c r="G245" s="52">
        <v>-300</v>
      </c>
      <c r="H245" s="32" t="s">
        <v>549</v>
      </c>
    </row>
    <row r="246" spans="1:9" ht="18.75">
      <c r="A246" t="s">
        <v>550</v>
      </c>
      <c r="B246">
        <v>3</v>
      </c>
      <c r="C246">
        <v>2024</v>
      </c>
      <c r="D246" s="54">
        <v>45375</v>
      </c>
      <c r="E246" s="42" t="s">
        <v>249</v>
      </c>
      <c r="F246" s="76" t="s">
        <v>54</v>
      </c>
      <c r="G246" s="52">
        <v>-9.0500000000000007</v>
      </c>
      <c r="H246" s="32" t="s">
        <v>551</v>
      </c>
    </row>
    <row r="247" spans="1:9" ht="18.75">
      <c r="A247" t="s">
        <v>552</v>
      </c>
      <c r="B247">
        <v>3</v>
      </c>
      <c r="C247">
        <v>2024</v>
      </c>
      <c r="D247" s="54">
        <v>45375</v>
      </c>
      <c r="E247" s="42" t="s">
        <v>249</v>
      </c>
      <c r="F247" s="76" t="s">
        <v>59</v>
      </c>
      <c r="G247" s="52">
        <v>-48.45</v>
      </c>
      <c r="H247" s="32" t="s">
        <v>288</v>
      </c>
    </row>
    <row r="248" spans="1:9" ht="18.75">
      <c r="A248" t="s">
        <v>553</v>
      </c>
      <c r="B248">
        <v>3</v>
      </c>
      <c r="C248">
        <v>2024</v>
      </c>
      <c r="D248" s="54">
        <v>45375</v>
      </c>
      <c r="E248" s="42" t="s">
        <v>249</v>
      </c>
      <c r="F248" s="76" t="s">
        <v>32</v>
      </c>
      <c r="G248" s="52">
        <v>-59.51</v>
      </c>
      <c r="H248" s="32" t="s">
        <v>554</v>
      </c>
    </row>
    <row r="249" spans="1:9" ht="18.75">
      <c r="A249" t="s">
        <v>555</v>
      </c>
      <c r="B249">
        <v>3</v>
      </c>
      <c r="C249">
        <v>2024</v>
      </c>
      <c r="D249" s="54">
        <v>45376</v>
      </c>
      <c r="E249" s="42" t="s">
        <v>160</v>
      </c>
      <c r="F249" s="76" t="s">
        <v>48</v>
      </c>
      <c r="G249" s="52">
        <v>-4</v>
      </c>
      <c r="H249" s="32" t="s">
        <v>228</v>
      </c>
    </row>
    <row r="250" spans="1:9" ht="18.75">
      <c r="A250" t="s">
        <v>556</v>
      </c>
      <c r="B250">
        <v>3</v>
      </c>
      <c r="C250">
        <v>2024</v>
      </c>
      <c r="D250" s="54">
        <v>45376</v>
      </c>
      <c r="E250" s="42" t="s">
        <v>160</v>
      </c>
      <c r="F250" s="76" t="s">
        <v>48</v>
      </c>
      <c r="G250" s="52">
        <v>-7.5</v>
      </c>
      <c r="H250" s="32" t="s">
        <v>557</v>
      </c>
    </row>
    <row r="251" spans="1:9" ht="18.75">
      <c r="A251" t="s">
        <v>558</v>
      </c>
      <c r="B251">
        <v>3</v>
      </c>
      <c r="C251">
        <v>2024</v>
      </c>
      <c r="D251" s="54">
        <v>45376</v>
      </c>
      <c r="E251" s="42" t="s">
        <v>249</v>
      </c>
      <c r="F251" s="76" t="s">
        <v>57</v>
      </c>
      <c r="G251" s="52">
        <v>-102.32</v>
      </c>
      <c r="H251" s="32" t="s">
        <v>351</v>
      </c>
    </row>
    <row r="252" spans="1:9" ht="18.75">
      <c r="A252" t="s">
        <v>559</v>
      </c>
      <c r="B252">
        <v>3</v>
      </c>
      <c r="C252">
        <v>2024</v>
      </c>
      <c r="D252" s="54">
        <v>45376</v>
      </c>
      <c r="E252" s="42" t="s">
        <v>160</v>
      </c>
      <c r="F252" s="76" t="s">
        <v>29</v>
      </c>
      <c r="G252" s="52">
        <v>-225.75</v>
      </c>
      <c r="H252" s="32" t="s">
        <v>167</v>
      </c>
    </row>
    <row r="253" spans="1:9" ht="18.75">
      <c r="A253" t="s">
        <v>560</v>
      </c>
      <c r="B253">
        <v>3</v>
      </c>
      <c r="C253">
        <v>2024</v>
      </c>
      <c r="D253" s="54">
        <v>45377</v>
      </c>
      <c r="E253" s="42" t="s">
        <v>249</v>
      </c>
      <c r="F253" s="76" t="s">
        <v>46</v>
      </c>
      <c r="G253" s="52">
        <v>-20</v>
      </c>
      <c r="H253" s="32" t="s">
        <v>268</v>
      </c>
    </row>
    <row r="254" spans="1:9" ht="18.75">
      <c r="A254" t="s">
        <v>561</v>
      </c>
      <c r="B254">
        <v>3</v>
      </c>
      <c r="C254">
        <v>2024</v>
      </c>
      <c r="D254" s="54">
        <v>45378</v>
      </c>
      <c r="E254" s="42" t="s">
        <v>249</v>
      </c>
      <c r="F254" s="76" t="s">
        <v>66</v>
      </c>
      <c r="G254" s="52">
        <v>-680</v>
      </c>
      <c r="H254" s="32" t="s">
        <v>408</v>
      </c>
    </row>
    <row r="255" spans="1:9" ht="18.75">
      <c r="B255">
        <v>3</v>
      </c>
      <c r="C255">
        <v>2024</v>
      </c>
      <c r="D255" s="54">
        <v>45379</v>
      </c>
      <c r="E255" s="42" t="s">
        <v>160</v>
      </c>
      <c r="F255" s="76" t="s">
        <v>52</v>
      </c>
      <c r="G255" s="52">
        <v>-21.5</v>
      </c>
      <c r="I255" s="32" t="s">
        <v>562</v>
      </c>
    </row>
    <row r="256" spans="1:9" ht="18.75">
      <c r="A256" t="s">
        <v>563</v>
      </c>
      <c r="B256">
        <v>3</v>
      </c>
      <c r="C256">
        <v>2024</v>
      </c>
      <c r="D256" s="54">
        <v>45379</v>
      </c>
      <c r="E256" s="42" t="s">
        <v>160</v>
      </c>
      <c r="F256" s="76" t="s">
        <v>79</v>
      </c>
      <c r="G256" s="52">
        <v>1234.54</v>
      </c>
      <c r="H256" s="32" t="s">
        <v>190</v>
      </c>
    </row>
    <row r="257" spans="1:9" ht="18.75">
      <c r="A257" t="s">
        <v>564</v>
      </c>
      <c r="B257">
        <v>3</v>
      </c>
      <c r="C257">
        <v>2024</v>
      </c>
      <c r="D257" s="54">
        <v>45379</v>
      </c>
      <c r="E257" s="42" t="s">
        <v>160</v>
      </c>
      <c r="F257" s="76" t="s">
        <v>79</v>
      </c>
      <c r="G257" s="52">
        <v>45.18</v>
      </c>
      <c r="H257" s="32" t="s">
        <v>565</v>
      </c>
    </row>
    <row r="258" spans="1:9" ht="18.75">
      <c r="A258" t="s">
        <v>566</v>
      </c>
      <c r="B258">
        <v>3</v>
      </c>
      <c r="C258">
        <v>2024</v>
      </c>
      <c r="D258" s="54">
        <v>45379</v>
      </c>
      <c r="E258" s="42" t="s">
        <v>146</v>
      </c>
      <c r="F258" s="76" t="s">
        <v>79</v>
      </c>
      <c r="G258" s="52">
        <v>90.36</v>
      </c>
      <c r="H258" s="32" t="s">
        <v>567</v>
      </c>
      <c r="I258" s="32" t="s">
        <v>568</v>
      </c>
    </row>
    <row r="259" spans="1:9" ht="18.75">
      <c r="B259">
        <v>11</v>
      </c>
      <c r="C259">
        <v>2025</v>
      </c>
      <c r="D259" s="54">
        <v>45991</v>
      </c>
      <c r="E259" s="42" t="s">
        <v>146</v>
      </c>
      <c r="F259" s="76" t="s">
        <v>65</v>
      </c>
      <c r="G259" s="52">
        <v>-100</v>
      </c>
      <c r="H259" s="32" t="s">
        <v>569</v>
      </c>
    </row>
    <row r="260" spans="1:9" ht="18.75">
      <c r="A260" t="s">
        <v>570</v>
      </c>
      <c r="B260">
        <v>4</v>
      </c>
      <c r="C260">
        <v>2024</v>
      </c>
      <c r="D260" s="54">
        <v>45383</v>
      </c>
      <c r="E260" s="42" t="s">
        <v>160</v>
      </c>
      <c r="F260" s="76" t="s">
        <v>49</v>
      </c>
      <c r="G260" s="52">
        <v>-50</v>
      </c>
      <c r="H260" s="32" t="s">
        <v>161</v>
      </c>
    </row>
    <row r="261" spans="1:9" ht="18.75">
      <c r="A261" t="s">
        <v>571</v>
      </c>
      <c r="B261">
        <v>3</v>
      </c>
      <c r="C261">
        <v>2024</v>
      </c>
      <c r="D261" s="54">
        <v>45379</v>
      </c>
      <c r="E261" s="42" t="s">
        <v>160</v>
      </c>
      <c r="F261" s="76" t="s">
        <v>79</v>
      </c>
      <c r="G261" s="52">
        <v>2684.36</v>
      </c>
      <c r="H261" s="32" t="s">
        <v>572</v>
      </c>
    </row>
    <row r="262" spans="1:9" ht="18.75">
      <c r="A262" t="s">
        <v>573</v>
      </c>
      <c r="B262">
        <v>3</v>
      </c>
      <c r="C262">
        <v>2024</v>
      </c>
      <c r="D262" s="54">
        <v>45379</v>
      </c>
      <c r="E262" s="42" t="s">
        <v>160</v>
      </c>
      <c r="F262" s="76" t="s">
        <v>79</v>
      </c>
      <c r="G262" s="52">
        <v>300</v>
      </c>
      <c r="H262" s="32" t="s">
        <v>574</v>
      </c>
    </row>
    <row r="263" spans="1:9" ht="18.75">
      <c r="A263" t="s">
        <v>575</v>
      </c>
      <c r="B263">
        <v>3</v>
      </c>
      <c r="C263">
        <v>2024</v>
      </c>
      <c r="D263" s="54">
        <v>45379</v>
      </c>
      <c r="E263" s="42" t="s">
        <v>146</v>
      </c>
      <c r="F263" s="76" t="s">
        <v>79</v>
      </c>
      <c r="G263" s="52">
        <v>-45.18</v>
      </c>
      <c r="H263" s="32" t="s">
        <v>576</v>
      </c>
      <c r="I263" s="32" t="s">
        <v>577</v>
      </c>
    </row>
    <row r="264" spans="1:9" ht="18.75">
      <c r="A264" t="s">
        <v>578</v>
      </c>
      <c r="B264">
        <v>3</v>
      </c>
      <c r="C264">
        <v>2024</v>
      </c>
      <c r="D264" s="54">
        <v>45379</v>
      </c>
      <c r="E264" s="42" t="s">
        <v>160</v>
      </c>
      <c r="F264" s="76" t="s">
        <v>79</v>
      </c>
      <c r="G264" s="52">
        <v>-90.36</v>
      </c>
      <c r="H264" s="32" t="s">
        <v>579</v>
      </c>
    </row>
    <row r="265" spans="1:9" ht="18.75">
      <c r="A265" t="s">
        <v>580</v>
      </c>
      <c r="B265">
        <v>3</v>
      </c>
      <c r="C265">
        <v>2024</v>
      </c>
      <c r="D265" s="54">
        <v>45379</v>
      </c>
      <c r="E265" s="42" t="s">
        <v>146</v>
      </c>
      <c r="F265" s="76" t="s">
        <v>79</v>
      </c>
      <c r="G265" s="52">
        <v>-2684.36</v>
      </c>
      <c r="H265" s="32" t="s">
        <v>581</v>
      </c>
      <c r="I265" s="32" t="s">
        <v>577</v>
      </c>
    </row>
    <row r="266" spans="1:9" ht="18.75">
      <c r="A266" t="s">
        <v>582</v>
      </c>
      <c r="B266">
        <v>3</v>
      </c>
      <c r="C266">
        <v>2024</v>
      </c>
      <c r="D266" s="54">
        <v>45379</v>
      </c>
      <c r="E266" s="42" t="s">
        <v>146</v>
      </c>
      <c r="F266" s="76" t="s">
        <v>79</v>
      </c>
      <c r="G266" s="52">
        <v>-300</v>
      </c>
      <c r="H266" s="32" t="s">
        <v>583</v>
      </c>
      <c r="I266" s="32" t="s">
        <v>577</v>
      </c>
    </row>
    <row r="267" spans="1:9" ht="18.75">
      <c r="B267">
        <v>3</v>
      </c>
      <c r="C267">
        <v>2024</v>
      </c>
      <c r="D267" s="54">
        <v>45379</v>
      </c>
      <c r="E267" s="42" t="s">
        <v>160</v>
      </c>
      <c r="F267" s="76" t="s">
        <v>30</v>
      </c>
      <c r="G267" s="52">
        <v>0.09</v>
      </c>
      <c r="I267" s="32" t="s">
        <v>584</v>
      </c>
    </row>
    <row r="268" spans="1:9" ht="18.75">
      <c r="A268" t="s">
        <v>585</v>
      </c>
      <c r="B268">
        <v>3</v>
      </c>
      <c r="C268">
        <v>2024</v>
      </c>
      <c r="D268" s="54">
        <v>45379</v>
      </c>
      <c r="E268" s="42" t="s">
        <v>249</v>
      </c>
      <c r="F268" s="76" t="s">
        <v>57</v>
      </c>
      <c r="G268" s="52">
        <v>-24.08</v>
      </c>
      <c r="H268" s="32" t="s">
        <v>282</v>
      </c>
    </row>
    <row r="269" spans="1:9" ht="18.75">
      <c r="A269" t="s">
        <v>586</v>
      </c>
      <c r="B269">
        <v>3</v>
      </c>
      <c r="C269">
        <v>2024</v>
      </c>
      <c r="D269" s="54">
        <v>45379</v>
      </c>
      <c r="E269" s="42" t="s">
        <v>249</v>
      </c>
      <c r="F269" s="76" t="s">
        <v>54</v>
      </c>
      <c r="G269" s="52">
        <v>-22.25</v>
      </c>
      <c r="H269" s="32" t="s">
        <v>587</v>
      </c>
    </row>
    <row r="270" spans="1:9" ht="18.75">
      <c r="B270">
        <v>3</v>
      </c>
      <c r="C270">
        <v>2024</v>
      </c>
      <c r="D270" s="54">
        <v>45379</v>
      </c>
      <c r="E270" s="42" t="s">
        <v>160</v>
      </c>
      <c r="F270" s="76" t="s">
        <v>187</v>
      </c>
      <c r="G270" s="52">
        <v>-33.43</v>
      </c>
      <c r="I270" s="32" t="s">
        <v>588</v>
      </c>
    </row>
    <row r="271" spans="1:9" ht="18.75">
      <c r="B271">
        <v>3</v>
      </c>
      <c r="C271">
        <v>2024</v>
      </c>
      <c r="D271" s="54">
        <v>45379</v>
      </c>
      <c r="E271" s="42" t="s">
        <v>160</v>
      </c>
      <c r="F271" s="76" t="s">
        <v>55</v>
      </c>
      <c r="G271" s="52">
        <v>33.340000000000003</v>
      </c>
      <c r="I271" s="32" t="s">
        <v>584</v>
      </c>
    </row>
    <row r="272" spans="1:9" ht="18.75">
      <c r="A272" t="s">
        <v>589</v>
      </c>
      <c r="B272">
        <v>3</v>
      </c>
      <c r="C272">
        <v>2024</v>
      </c>
      <c r="D272" s="54">
        <v>45379</v>
      </c>
      <c r="E272" s="42" t="s">
        <v>249</v>
      </c>
      <c r="F272" s="76" t="s">
        <v>56</v>
      </c>
      <c r="G272" s="52">
        <v>-174.87</v>
      </c>
      <c r="H272" s="32" t="s">
        <v>590</v>
      </c>
    </row>
    <row r="273" spans="1:9" ht="18.75">
      <c r="B273">
        <v>3</v>
      </c>
      <c r="C273">
        <v>2024</v>
      </c>
      <c r="D273" s="54">
        <v>45379</v>
      </c>
      <c r="E273" s="42" t="s">
        <v>160</v>
      </c>
      <c r="F273" s="76" t="s">
        <v>29</v>
      </c>
      <c r="G273" s="52">
        <v>21.5</v>
      </c>
      <c r="I273" s="32" t="s">
        <v>591</v>
      </c>
    </row>
    <row r="274" spans="1:9" ht="18.75">
      <c r="A274" t="s">
        <v>592</v>
      </c>
      <c r="B274">
        <v>3</v>
      </c>
      <c r="C274">
        <v>2024</v>
      </c>
      <c r="D274" s="54">
        <v>45380</v>
      </c>
      <c r="E274" s="42" t="s">
        <v>249</v>
      </c>
      <c r="F274" s="76" t="s">
        <v>34</v>
      </c>
      <c r="G274" s="52">
        <v>-88.12</v>
      </c>
      <c r="H274" s="32" t="s">
        <v>593</v>
      </c>
    </row>
    <row r="275" spans="1:9" ht="18.75">
      <c r="A275" t="s">
        <v>594</v>
      </c>
      <c r="B275">
        <v>3</v>
      </c>
      <c r="C275">
        <v>2024</v>
      </c>
      <c r="D275" s="54">
        <v>45380</v>
      </c>
      <c r="E275" s="42" t="s">
        <v>249</v>
      </c>
      <c r="F275" s="76" t="s">
        <v>34</v>
      </c>
      <c r="G275" s="52">
        <v>-48.05</v>
      </c>
      <c r="H275" s="32" t="s">
        <v>595</v>
      </c>
    </row>
    <row r="276" spans="1:9" ht="18.75">
      <c r="A276" t="s">
        <v>596</v>
      </c>
      <c r="B276">
        <v>3</v>
      </c>
      <c r="C276">
        <v>2024</v>
      </c>
      <c r="D276" s="54">
        <v>45380</v>
      </c>
      <c r="E276" s="42" t="s">
        <v>249</v>
      </c>
      <c r="F276" s="76" t="s">
        <v>32</v>
      </c>
      <c r="G276" s="52">
        <v>-166.19</v>
      </c>
      <c r="H276" s="32" t="s">
        <v>597</v>
      </c>
    </row>
    <row r="277" spans="1:9" ht="18.75">
      <c r="A277" t="s">
        <v>598</v>
      </c>
      <c r="B277">
        <v>3</v>
      </c>
      <c r="C277">
        <v>2024</v>
      </c>
      <c r="D277" s="54">
        <v>45381</v>
      </c>
      <c r="E277" s="42" t="s">
        <v>249</v>
      </c>
      <c r="F277" s="76" t="s">
        <v>53</v>
      </c>
      <c r="G277" s="52">
        <v>-3.15</v>
      </c>
      <c r="H277" s="32" t="s">
        <v>599</v>
      </c>
    </row>
    <row r="278" spans="1:9" ht="18.75">
      <c r="A278" t="s">
        <v>600</v>
      </c>
      <c r="B278">
        <v>3</v>
      </c>
      <c r="C278">
        <v>2024</v>
      </c>
      <c r="D278" s="54">
        <v>45381</v>
      </c>
      <c r="E278" s="42" t="s">
        <v>249</v>
      </c>
      <c r="F278" s="76" t="s">
        <v>65</v>
      </c>
      <c r="G278" s="52">
        <v>-65.510000000000005</v>
      </c>
      <c r="H278" s="32" t="s">
        <v>601</v>
      </c>
    </row>
    <row r="279" spans="1:9" ht="18.75">
      <c r="A279" t="s">
        <v>602</v>
      </c>
      <c r="B279">
        <v>3</v>
      </c>
      <c r="C279">
        <v>2024</v>
      </c>
      <c r="D279" s="54">
        <v>45381</v>
      </c>
      <c r="E279" s="42" t="s">
        <v>249</v>
      </c>
      <c r="F279" s="76" t="s">
        <v>54</v>
      </c>
      <c r="G279" s="52">
        <v>-11.16</v>
      </c>
      <c r="H279" s="32" t="s">
        <v>603</v>
      </c>
    </row>
    <row r="280" spans="1:9" ht="18.75">
      <c r="A280" t="s">
        <v>604</v>
      </c>
      <c r="B280">
        <v>3</v>
      </c>
      <c r="C280">
        <v>2024</v>
      </c>
      <c r="D280" s="54">
        <v>45381</v>
      </c>
      <c r="E280" s="42" t="s">
        <v>249</v>
      </c>
      <c r="F280" s="76" t="s">
        <v>59</v>
      </c>
      <c r="G280" s="52">
        <v>-47.32</v>
      </c>
      <c r="H280" s="32" t="s">
        <v>605</v>
      </c>
    </row>
    <row r="281" spans="1:9" ht="18.75">
      <c r="A281" t="s">
        <v>606</v>
      </c>
      <c r="B281">
        <v>4</v>
      </c>
      <c r="C281">
        <v>2024</v>
      </c>
      <c r="D281" s="54">
        <v>45383</v>
      </c>
      <c r="E281" s="42" t="s">
        <v>249</v>
      </c>
      <c r="F281" s="76" t="s">
        <v>45</v>
      </c>
      <c r="G281" s="52">
        <v>-33.28</v>
      </c>
      <c r="H281" s="32" t="s">
        <v>250</v>
      </c>
    </row>
    <row r="282" spans="1:9" ht="18.75">
      <c r="A282" t="s">
        <v>607</v>
      </c>
      <c r="B282">
        <v>4</v>
      </c>
      <c r="C282">
        <v>2024</v>
      </c>
      <c r="D282" s="54">
        <v>45383</v>
      </c>
      <c r="E282" s="42" t="s">
        <v>160</v>
      </c>
      <c r="F282" s="76" t="s">
        <v>49</v>
      </c>
      <c r="G282" s="52">
        <v>-50</v>
      </c>
      <c r="H282" s="32" t="s">
        <v>173</v>
      </c>
    </row>
    <row r="283" spans="1:9" ht="18.75">
      <c r="A283" t="s">
        <v>608</v>
      </c>
      <c r="B283">
        <v>4</v>
      </c>
      <c r="C283">
        <v>2024</v>
      </c>
      <c r="D283" s="54">
        <v>45397</v>
      </c>
      <c r="E283" s="42" t="s">
        <v>160</v>
      </c>
      <c r="F283" s="76" t="s">
        <v>49</v>
      </c>
      <c r="G283" s="52">
        <v>-50</v>
      </c>
      <c r="H283" s="32" t="s">
        <v>161</v>
      </c>
    </row>
    <row r="284" spans="1:9" ht="18.75">
      <c r="A284" t="s">
        <v>609</v>
      </c>
      <c r="B284">
        <v>4</v>
      </c>
      <c r="C284">
        <v>2024</v>
      </c>
      <c r="D284" s="54">
        <v>45383</v>
      </c>
      <c r="E284" s="42" t="s">
        <v>146</v>
      </c>
      <c r="F284" s="76" t="s">
        <v>48</v>
      </c>
      <c r="G284" s="52">
        <v>4.33</v>
      </c>
      <c r="H284" s="32" t="s">
        <v>175</v>
      </c>
    </row>
    <row r="285" spans="1:9" ht="18.75">
      <c r="A285" t="s">
        <v>610</v>
      </c>
      <c r="B285">
        <v>4</v>
      </c>
      <c r="C285">
        <v>2024</v>
      </c>
      <c r="D285" s="54">
        <v>45383</v>
      </c>
      <c r="E285" s="42" t="s">
        <v>146</v>
      </c>
      <c r="F285" s="76" t="s">
        <v>79</v>
      </c>
      <c r="G285" s="52">
        <v>2110</v>
      </c>
      <c r="H285" s="32" t="s">
        <v>611</v>
      </c>
      <c r="I285" s="32" t="s">
        <v>612</v>
      </c>
    </row>
    <row r="286" spans="1:9" ht="18.75">
      <c r="A286" t="s">
        <v>613</v>
      </c>
      <c r="B286">
        <v>4</v>
      </c>
      <c r="C286">
        <v>2024</v>
      </c>
      <c r="D286" s="54">
        <v>45383</v>
      </c>
      <c r="E286" s="42" t="s">
        <v>249</v>
      </c>
      <c r="F286" s="76" t="s">
        <v>65</v>
      </c>
      <c r="G286" s="52">
        <v>45.19</v>
      </c>
      <c r="H286" s="32" t="s">
        <v>601</v>
      </c>
    </row>
    <row r="287" spans="1:9" ht="18.75">
      <c r="A287" t="s">
        <v>614</v>
      </c>
      <c r="B287">
        <v>4</v>
      </c>
      <c r="C287">
        <v>2024</v>
      </c>
      <c r="D287" s="54">
        <v>45383</v>
      </c>
      <c r="E287" s="42" t="s">
        <v>249</v>
      </c>
      <c r="F287" s="76" t="s">
        <v>65</v>
      </c>
      <c r="G287" s="52">
        <v>-45.19</v>
      </c>
      <c r="H287" s="32" t="s">
        <v>601</v>
      </c>
    </row>
    <row r="288" spans="1:9" ht="18.75">
      <c r="A288" t="s">
        <v>615</v>
      </c>
      <c r="B288">
        <v>4</v>
      </c>
      <c r="C288">
        <v>2024</v>
      </c>
      <c r="D288" s="54">
        <v>45383</v>
      </c>
      <c r="E288" s="42" t="s">
        <v>249</v>
      </c>
      <c r="F288" s="76" t="s">
        <v>66</v>
      </c>
      <c r="G288" s="52">
        <v>-1.5</v>
      </c>
      <c r="H288" s="32" t="s">
        <v>616</v>
      </c>
    </row>
    <row r="289" spans="1:8" ht="18.75">
      <c r="A289" t="s">
        <v>617</v>
      </c>
      <c r="B289">
        <v>4</v>
      </c>
      <c r="C289">
        <v>2024</v>
      </c>
      <c r="D289" s="54">
        <v>45383</v>
      </c>
      <c r="E289" s="42" t="s">
        <v>249</v>
      </c>
      <c r="F289" s="76" t="s">
        <v>57</v>
      </c>
      <c r="G289" s="52">
        <v>-74.13</v>
      </c>
      <c r="H289" s="32" t="s">
        <v>351</v>
      </c>
    </row>
    <row r="290" spans="1:8" ht="18.75">
      <c r="A290" t="s">
        <v>618</v>
      </c>
      <c r="B290">
        <v>4</v>
      </c>
      <c r="C290">
        <v>2024</v>
      </c>
      <c r="D290" s="54">
        <v>45383</v>
      </c>
      <c r="E290" s="42" t="s">
        <v>126</v>
      </c>
      <c r="F290" s="76" t="s">
        <v>72</v>
      </c>
      <c r="G290" s="52">
        <v>400</v>
      </c>
      <c r="H290" s="32" t="s">
        <v>619</v>
      </c>
    </row>
    <row r="291" spans="1:8" ht="18.75">
      <c r="A291" t="s">
        <v>620</v>
      </c>
      <c r="B291">
        <v>4</v>
      </c>
      <c r="C291">
        <v>2024</v>
      </c>
      <c r="D291" s="54">
        <v>45383</v>
      </c>
      <c r="E291" s="42" t="s">
        <v>160</v>
      </c>
      <c r="F291" s="76" t="s">
        <v>72</v>
      </c>
      <c r="G291" s="52">
        <v>-2110</v>
      </c>
      <c r="H291" s="32" t="s">
        <v>621</v>
      </c>
    </row>
    <row r="292" spans="1:8" ht="18.75">
      <c r="A292" t="s">
        <v>622</v>
      </c>
      <c r="B292">
        <v>4</v>
      </c>
      <c r="C292">
        <v>2024</v>
      </c>
      <c r="D292" s="54">
        <v>45383</v>
      </c>
      <c r="E292" s="42" t="s">
        <v>160</v>
      </c>
      <c r="F292" s="76" t="s">
        <v>187</v>
      </c>
      <c r="G292" s="52">
        <v>-400</v>
      </c>
      <c r="H292" s="32" t="s">
        <v>623</v>
      </c>
    </row>
    <row r="293" spans="1:8" ht="18.75">
      <c r="A293" t="s">
        <v>624</v>
      </c>
      <c r="B293">
        <v>4</v>
      </c>
      <c r="C293">
        <v>2024</v>
      </c>
      <c r="D293" s="54">
        <v>45383</v>
      </c>
      <c r="E293" s="42" t="s">
        <v>160</v>
      </c>
      <c r="F293" s="76" t="s">
        <v>40</v>
      </c>
      <c r="G293" s="52">
        <v>-100</v>
      </c>
      <c r="H293" s="32" t="s">
        <v>625</v>
      </c>
    </row>
    <row r="294" spans="1:8" ht="18.75">
      <c r="A294" t="s">
        <v>626</v>
      </c>
      <c r="B294">
        <v>4</v>
      </c>
      <c r="C294">
        <v>2024</v>
      </c>
      <c r="D294" s="54">
        <v>45383</v>
      </c>
      <c r="E294" s="42" t="s">
        <v>160</v>
      </c>
      <c r="F294" s="76" t="s">
        <v>40</v>
      </c>
      <c r="G294" s="52">
        <v>-100</v>
      </c>
      <c r="H294" s="32" t="s">
        <v>627</v>
      </c>
    </row>
    <row r="295" spans="1:8" ht="18.75">
      <c r="A295" t="s">
        <v>628</v>
      </c>
      <c r="B295">
        <v>4</v>
      </c>
      <c r="C295">
        <v>2024</v>
      </c>
      <c r="D295" s="54">
        <v>45384</v>
      </c>
      <c r="E295" s="42" t="s">
        <v>160</v>
      </c>
      <c r="F295" s="76" t="s">
        <v>43</v>
      </c>
      <c r="G295" s="52">
        <v>-9.0299999999999994</v>
      </c>
      <c r="H295" s="32" t="s">
        <v>163</v>
      </c>
    </row>
    <row r="296" spans="1:8" ht="18.75">
      <c r="A296" t="s">
        <v>629</v>
      </c>
      <c r="B296">
        <v>4</v>
      </c>
      <c r="C296">
        <v>2024</v>
      </c>
      <c r="D296" s="54">
        <v>45385</v>
      </c>
      <c r="E296" s="42" t="s">
        <v>249</v>
      </c>
      <c r="F296" s="76" t="s">
        <v>46</v>
      </c>
      <c r="G296" s="52">
        <v>-20</v>
      </c>
      <c r="H296" s="32" t="s">
        <v>268</v>
      </c>
    </row>
    <row r="297" spans="1:8" ht="18.75">
      <c r="A297" t="s">
        <v>630</v>
      </c>
      <c r="B297">
        <v>4</v>
      </c>
      <c r="C297">
        <v>2024</v>
      </c>
      <c r="D297" s="54">
        <v>45386</v>
      </c>
      <c r="E297" s="42" t="s">
        <v>249</v>
      </c>
      <c r="F297" s="76" t="s">
        <v>54</v>
      </c>
      <c r="G297" s="52">
        <v>-10.4</v>
      </c>
      <c r="H297" s="32" t="s">
        <v>631</v>
      </c>
    </row>
    <row r="298" spans="1:8" ht="18.75">
      <c r="A298" t="s">
        <v>632</v>
      </c>
      <c r="B298">
        <v>4</v>
      </c>
      <c r="C298">
        <v>2024</v>
      </c>
      <c r="D298" s="54">
        <v>45387</v>
      </c>
      <c r="E298" s="42" t="s">
        <v>160</v>
      </c>
      <c r="F298" s="76" t="s">
        <v>34</v>
      </c>
      <c r="G298" s="52">
        <v>-292</v>
      </c>
      <c r="H298" s="32" t="s">
        <v>334</v>
      </c>
    </row>
    <row r="299" spans="1:8" ht="18.75">
      <c r="A299" t="s">
        <v>633</v>
      </c>
      <c r="B299">
        <v>4</v>
      </c>
      <c r="C299">
        <v>2024</v>
      </c>
      <c r="D299" s="54">
        <v>45387</v>
      </c>
      <c r="E299" s="42" t="s">
        <v>160</v>
      </c>
      <c r="F299" s="76" t="s">
        <v>53</v>
      </c>
      <c r="G299" s="52">
        <v>-100</v>
      </c>
      <c r="H299" s="32" t="s">
        <v>334</v>
      </c>
    </row>
    <row r="300" spans="1:8" ht="18.75">
      <c r="A300" t="s">
        <v>634</v>
      </c>
      <c r="B300">
        <v>4</v>
      </c>
      <c r="C300">
        <v>2024</v>
      </c>
      <c r="D300" s="54">
        <v>45387</v>
      </c>
      <c r="E300" s="42" t="s">
        <v>160</v>
      </c>
      <c r="F300" s="76" t="s">
        <v>33</v>
      </c>
      <c r="G300" s="52">
        <v>-443.25</v>
      </c>
      <c r="H300" s="32" t="s">
        <v>169</v>
      </c>
    </row>
    <row r="301" spans="1:8" ht="18.75">
      <c r="A301" t="s">
        <v>635</v>
      </c>
      <c r="B301">
        <v>4</v>
      </c>
      <c r="C301">
        <v>2024</v>
      </c>
      <c r="D301" s="54">
        <v>45387</v>
      </c>
      <c r="E301" s="42" t="s">
        <v>160</v>
      </c>
      <c r="F301" s="76" t="s">
        <v>79</v>
      </c>
      <c r="G301" s="52">
        <v>2046.79</v>
      </c>
      <c r="H301" s="32" t="s">
        <v>171</v>
      </c>
    </row>
    <row r="302" spans="1:8" ht="18.75">
      <c r="A302" t="s">
        <v>636</v>
      </c>
      <c r="B302">
        <v>4</v>
      </c>
      <c r="C302">
        <v>2024</v>
      </c>
      <c r="D302" s="54">
        <v>45387</v>
      </c>
      <c r="E302" s="42" t="s">
        <v>160</v>
      </c>
      <c r="F302" s="76" t="s">
        <v>79</v>
      </c>
      <c r="G302" s="52">
        <v>292</v>
      </c>
      <c r="H302" s="32" t="s">
        <v>637</v>
      </c>
    </row>
    <row r="303" spans="1:8" ht="18.75">
      <c r="A303" t="s">
        <v>638</v>
      </c>
      <c r="B303">
        <v>4</v>
      </c>
      <c r="C303">
        <v>2024</v>
      </c>
      <c r="D303" s="54">
        <v>45387</v>
      </c>
      <c r="E303" s="42" t="s">
        <v>146</v>
      </c>
      <c r="F303" s="76" t="s">
        <v>79</v>
      </c>
      <c r="G303" s="52">
        <v>-292</v>
      </c>
      <c r="H303" s="32" t="s">
        <v>639</v>
      </c>
    </row>
    <row r="304" spans="1:8" ht="18.75">
      <c r="A304" t="s">
        <v>640</v>
      </c>
      <c r="B304">
        <v>4</v>
      </c>
      <c r="C304">
        <v>2024</v>
      </c>
      <c r="D304" s="54">
        <v>45387</v>
      </c>
      <c r="E304" s="42" t="s">
        <v>160</v>
      </c>
      <c r="F304" s="76" t="s">
        <v>30</v>
      </c>
      <c r="G304" s="52">
        <v>-214.82</v>
      </c>
      <c r="H304" s="32" t="s">
        <v>196</v>
      </c>
    </row>
    <row r="305" spans="1:8" ht="18.75">
      <c r="A305" t="s">
        <v>641</v>
      </c>
      <c r="B305">
        <v>4</v>
      </c>
      <c r="C305">
        <v>2024</v>
      </c>
      <c r="D305" s="54">
        <v>45388</v>
      </c>
      <c r="E305" s="42" t="s">
        <v>249</v>
      </c>
      <c r="F305" s="76" t="s">
        <v>58</v>
      </c>
      <c r="G305" s="52">
        <v>-56.22</v>
      </c>
      <c r="H305" s="32" t="s">
        <v>308</v>
      </c>
    </row>
    <row r="306" spans="1:8" ht="18.75">
      <c r="A306" t="s">
        <v>642</v>
      </c>
      <c r="B306">
        <v>4</v>
      </c>
      <c r="C306">
        <v>2024</v>
      </c>
      <c r="D306" s="54">
        <v>45388</v>
      </c>
      <c r="E306" s="42" t="s">
        <v>249</v>
      </c>
      <c r="F306" s="76" t="s">
        <v>65</v>
      </c>
      <c r="G306" s="52">
        <v>25.99</v>
      </c>
      <c r="H306" s="32" t="s">
        <v>601</v>
      </c>
    </row>
    <row r="307" spans="1:8" ht="18.75">
      <c r="A307" t="s">
        <v>643</v>
      </c>
      <c r="B307">
        <v>4</v>
      </c>
      <c r="C307">
        <v>2024</v>
      </c>
      <c r="D307" s="54">
        <v>45388</v>
      </c>
      <c r="E307" s="42" t="s">
        <v>249</v>
      </c>
      <c r="F307" s="76" t="s">
        <v>65</v>
      </c>
      <c r="G307" s="52">
        <v>-168.34</v>
      </c>
      <c r="H307" s="32" t="s">
        <v>601</v>
      </c>
    </row>
    <row r="308" spans="1:8" ht="18.75">
      <c r="A308" t="s">
        <v>644</v>
      </c>
      <c r="B308">
        <v>4</v>
      </c>
      <c r="C308">
        <v>2024</v>
      </c>
      <c r="D308" s="54">
        <v>45388</v>
      </c>
      <c r="E308" s="42" t="s">
        <v>249</v>
      </c>
      <c r="F308" s="76" t="s">
        <v>57</v>
      </c>
      <c r="G308" s="52">
        <v>-34.299999999999997</v>
      </c>
      <c r="H308" s="32" t="s">
        <v>288</v>
      </c>
    </row>
    <row r="309" spans="1:8" ht="18.75">
      <c r="A309" t="s">
        <v>645</v>
      </c>
      <c r="B309">
        <v>4</v>
      </c>
      <c r="C309">
        <v>2024</v>
      </c>
      <c r="D309" s="54">
        <v>45388</v>
      </c>
      <c r="E309" s="42" t="s">
        <v>249</v>
      </c>
      <c r="F309" s="76" t="s">
        <v>32</v>
      </c>
      <c r="G309" s="52">
        <v>-37.28</v>
      </c>
      <c r="H309" s="32" t="s">
        <v>646</v>
      </c>
    </row>
    <row r="310" spans="1:8" ht="18.75">
      <c r="A310" t="s">
        <v>647</v>
      </c>
      <c r="B310">
        <v>4</v>
      </c>
      <c r="C310">
        <v>2024</v>
      </c>
      <c r="D310" s="54">
        <v>45389</v>
      </c>
      <c r="E310" s="42" t="s">
        <v>249</v>
      </c>
      <c r="F310" s="76" t="s">
        <v>42</v>
      </c>
      <c r="G310" s="52">
        <v>-25.98</v>
      </c>
      <c r="H310" s="32" t="s">
        <v>278</v>
      </c>
    </row>
    <row r="311" spans="1:8" ht="18.75">
      <c r="A311" t="s">
        <v>648</v>
      </c>
      <c r="B311">
        <v>4</v>
      </c>
      <c r="C311">
        <v>2024</v>
      </c>
      <c r="D311" s="54">
        <v>45389</v>
      </c>
      <c r="E311" s="42" t="s">
        <v>249</v>
      </c>
      <c r="F311" s="76" t="s">
        <v>58</v>
      </c>
      <c r="G311" s="52">
        <v>-22.59</v>
      </c>
      <c r="H311" s="32" t="s">
        <v>649</v>
      </c>
    </row>
    <row r="312" spans="1:8" ht="18.75">
      <c r="A312" t="s">
        <v>650</v>
      </c>
      <c r="B312">
        <v>4</v>
      </c>
      <c r="C312">
        <v>2024</v>
      </c>
      <c r="D312" s="54">
        <v>45389</v>
      </c>
      <c r="E312" s="42" t="s">
        <v>249</v>
      </c>
      <c r="F312" s="76" t="s">
        <v>57</v>
      </c>
      <c r="G312" s="52">
        <v>-70.260000000000005</v>
      </c>
      <c r="H312" s="32" t="s">
        <v>351</v>
      </c>
    </row>
    <row r="313" spans="1:8" ht="18.75">
      <c r="A313" t="s">
        <v>651</v>
      </c>
      <c r="B313">
        <v>4</v>
      </c>
      <c r="C313">
        <v>2024</v>
      </c>
      <c r="D313" s="54">
        <v>45389</v>
      </c>
      <c r="E313" s="42" t="s">
        <v>249</v>
      </c>
      <c r="F313" s="76" t="s">
        <v>55</v>
      </c>
      <c r="G313" s="52">
        <v>-42.94</v>
      </c>
      <c r="H313" s="32" t="s">
        <v>523</v>
      </c>
    </row>
    <row r="314" spans="1:8" ht="18.75">
      <c r="A314" t="s">
        <v>652</v>
      </c>
      <c r="B314">
        <v>4</v>
      </c>
      <c r="C314">
        <v>2024</v>
      </c>
      <c r="D314" s="54">
        <v>45390</v>
      </c>
      <c r="E314" s="42" t="s">
        <v>160</v>
      </c>
      <c r="F314" s="76" t="s">
        <v>51</v>
      </c>
      <c r="G314" s="52">
        <v>-125.87</v>
      </c>
      <c r="H314" s="32" t="s">
        <v>199</v>
      </c>
    </row>
    <row r="315" spans="1:8" ht="18.75">
      <c r="A315" t="s">
        <v>653</v>
      </c>
      <c r="B315">
        <v>4</v>
      </c>
      <c r="C315">
        <v>2024</v>
      </c>
      <c r="D315" s="54">
        <v>45390</v>
      </c>
      <c r="E315" s="42" t="s">
        <v>160</v>
      </c>
      <c r="F315" s="76" t="s">
        <v>66</v>
      </c>
      <c r="G315" s="52">
        <v>450</v>
      </c>
      <c r="H315" s="32" t="s">
        <v>654</v>
      </c>
    </row>
    <row r="316" spans="1:8" ht="18.75">
      <c r="A316" t="s">
        <v>655</v>
      </c>
      <c r="B316">
        <v>4</v>
      </c>
      <c r="C316">
        <v>2024</v>
      </c>
      <c r="D316" s="54">
        <v>45392</v>
      </c>
      <c r="E316" s="42" t="s">
        <v>249</v>
      </c>
      <c r="F316" s="76" t="s">
        <v>53</v>
      </c>
      <c r="G316" s="52">
        <v>-3.12</v>
      </c>
      <c r="H316" s="32" t="s">
        <v>656</v>
      </c>
    </row>
    <row r="317" spans="1:8" ht="18.75">
      <c r="A317" t="s">
        <v>657</v>
      </c>
      <c r="B317">
        <v>4</v>
      </c>
      <c r="C317">
        <v>2024</v>
      </c>
      <c r="D317" s="54">
        <v>45393</v>
      </c>
      <c r="E317" s="42" t="s">
        <v>249</v>
      </c>
      <c r="F317" s="76" t="s">
        <v>35</v>
      </c>
      <c r="G317" s="52">
        <v>-84.75</v>
      </c>
      <c r="H317" s="32" t="s">
        <v>285</v>
      </c>
    </row>
    <row r="318" spans="1:8" ht="18.75">
      <c r="A318" t="s">
        <v>658</v>
      </c>
      <c r="B318">
        <v>4</v>
      </c>
      <c r="C318">
        <v>2024</v>
      </c>
      <c r="D318" s="54">
        <v>45393</v>
      </c>
      <c r="E318" s="42" t="s">
        <v>160</v>
      </c>
      <c r="F318" s="76" t="s">
        <v>79</v>
      </c>
      <c r="G318" s="52">
        <v>1282.33</v>
      </c>
      <c r="H318" s="32" t="s">
        <v>190</v>
      </c>
    </row>
    <row r="319" spans="1:8" ht="18.75">
      <c r="A319" t="s">
        <v>659</v>
      </c>
      <c r="B319">
        <v>4</v>
      </c>
      <c r="C319">
        <v>2024</v>
      </c>
      <c r="D319" s="54">
        <v>45394</v>
      </c>
      <c r="E319" s="42" t="s">
        <v>160</v>
      </c>
      <c r="F319" s="76" t="s">
        <v>36</v>
      </c>
      <c r="G319" s="52">
        <v>-60.97</v>
      </c>
      <c r="H319" s="32" t="s">
        <v>660</v>
      </c>
    </row>
    <row r="320" spans="1:8" ht="18.75">
      <c r="A320" t="s">
        <v>661</v>
      </c>
      <c r="B320">
        <v>4</v>
      </c>
      <c r="C320">
        <v>2024</v>
      </c>
      <c r="D320" s="54">
        <v>45394</v>
      </c>
      <c r="E320" s="42" t="s">
        <v>249</v>
      </c>
      <c r="F320" s="76" t="s">
        <v>54</v>
      </c>
      <c r="G320" s="52">
        <v>-22.83</v>
      </c>
      <c r="H320" s="32" t="s">
        <v>662</v>
      </c>
    </row>
    <row r="321" spans="1:10" ht="18.75">
      <c r="A321" t="s">
        <v>663</v>
      </c>
      <c r="B321">
        <v>4</v>
      </c>
      <c r="C321">
        <v>2024</v>
      </c>
      <c r="D321" s="54">
        <v>45394</v>
      </c>
      <c r="E321" s="42" t="s">
        <v>249</v>
      </c>
      <c r="F321" s="76" t="s">
        <v>59</v>
      </c>
      <c r="G321" s="52">
        <v>-3.38</v>
      </c>
      <c r="H321" s="32" t="s">
        <v>664</v>
      </c>
    </row>
    <row r="322" spans="1:10" ht="18.75">
      <c r="A322" t="s">
        <v>665</v>
      </c>
      <c r="B322">
        <v>4</v>
      </c>
      <c r="C322">
        <v>2024</v>
      </c>
      <c r="D322" s="54">
        <v>45395</v>
      </c>
      <c r="E322" s="42" t="s">
        <v>249</v>
      </c>
      <c r="F322" s="76" t="s">
        <v>53</v>
      </c>
      <c r="G322" s="52">
        <v>-20.329999999999998</v>
      </c>
      <c r="H322" s="32" t="s">
        <v>666</v>
      </c>
    </row>
    <row r="323" spans="1:10" ht="18.75">
      <c r="A323" t="s">
        <v>667</v>
      </c>
      <c r="B323">
        <v>4</v>
      </c>
      <c r="C323">
        <v>2024</v>
      </c>
      <c r="D323" s="54">
        <v>45396</v>
      </c>
      <c r="E323" s="42" t="s">
        <v>249</v>
      </c>
      <c r="F323" s="76" t="s">
        <v>58</v>
      </c>
      <c r="G323" s="52">
        <v>-62.09</v>
      </c>
      <c r="H323" s="32" t="s">
        <v>282</v>
      </c>
    </row>
    <row r="324" spans="1:10" ht="18.75">
      <c r="A324" t="s">
        <v>668</v>
      </c>
      <c r="B324">
        <v>4</v>
      </c>
      <c r="C324">
        <v>2024</v>
      </c>
      <c r="D324" s="54">
        <v>45396</v>
      </c>
      <c r="E324" s="42" t="s">
        <v>249</v>
      </c>
      <c r="F324" s="76" t="s">
        <v>52</v>
      </c>
      <c r="G324" s="52">
        <v>-126.28</v>
      </c>
      <c r="H324" s="32" t="s">
        <v>282</v>
      </c>
    </row>
    <row r="325" spans="1:10" ht="18.75">
      <c r="A325" t="s">
        <v>669</v>
      </c>
      <c r="B325">
        <v>4</v>
      </c>
      <c r="C325">
        <v>2024</v>
      </c>
      <c r="D325" s="54">
        <v>45396</v>
      </c>
      <c r="E325" s="42" t="s">
        <v>249</v>
      </c>
      <c r="F325" s="76" t="s">
        <v>57</v>
      </c>
      <c r="G325" s="52">
        <v>-165.19</v>
      </c>
      <c r="H325" s="32" t="s">
        <v>282</v>
      </c>
    </row>
    <row r="326" spans="1:10" ht="18.75">
      <c r="A326" s="77" t="s">
        <v>670</v>
      </c>
      <c r="B326">
        <v>4</v>
      </c>
      <c r="C326">
        <v>2024</v>
      </c>
      <c r="D326" s="54">
        <v>45396</v>
      </c>
      <c r="E326" s="42" t="s">
        <v>249</v>
      </c>
      <c r="F326" s="76" t="s">
        <v>41</v>
      </c>
      <c r="G326" s="52">
        <v>-29.21</v>
      </c>
      <c r="H326" s="32" t="s">
        <v>671</v>
      </c>
    </row>
    <row r="327" spans="1:10" ht="18.75">
      <c r="A327" t="s">
        <v>672</v>
      </c>
      <c r="B327">
        <v>4</v>
      </c>
      <c r="C327">
        <v>2024</v>
      </c>
      <c r="D327" s="54">
        <v>45397</v>
      </c>
      <c r="E327" s="42" t="s">
        <v>160</v>
      </c>
      <c r="F327" s="76" t="s">
        <v>42</v>
      </c>
      <c r="G327" s="52">
        <v>454.08</v>
      </c>
      <c r="H327" s="32" t="s">
        <v>673</v>
      </c>
      <c r="I327" s="32" t="s">
        <v>674</v>
      </c>
    </row>
    <row r="328" spans="1:10" ht="18.75">
      <c r="A328" t="s">
        <v>675</v>
      </c>
      <c r="B328">
        <v>4</v>
      </c>
      <c r="C328">
        <v>2024</v>
      </c>
      <c r="D328" s="54">
        <v>45397</v>
      </c>
      <c r="E328" s="42" t="s">
        <v>249</v>
      </c>
      <c r="F328" s="76" t="s">
        <v>53</v>
      </c>
      <c r="G328" s="52">
        <v>-23.72</v>
      </c>
      <c r="H328" s="32" t="s">
        <v>676</v>
      </c>
    </row>
    <row r="329" spans="1:10" ht="18.75">
      <c r="A329" t="s">
        <v>677</v>
      </c>
      <c r="B329">
        <v>4</v>
      </c>
      <c r="C329">
        <v>2024</v>
      </c>
      <c r="D329" s="54">
        <v>45397</v>
      </c>
      <c r="E329" s="42" t="s">
        <v>146</v>
      </c>
      <c r="F329" s="76" t="s">
        <v>53</v>
      </c>
      <c r="G329" s="52">
        <v>3038.05</v>
      </c>
      <c r="H329" s="32" t="s">
        <v>678</v>
      </c>
      <c r="I329" s="32" t="s">
        <v>679</v>
      </c>
      <c r="J329" t="s">
        <v>680</v>
      </c>
    </row>
    <row r="330" spans="1:10" ht="18.75">
      <c r="A330" t="s">
        <v>681</v>
      </c>
      <c r="B330">
        <v>4</v>
      </c>
      <c r="C330">
        <v>2024</v>
      </c>
      <c r="D330" s="54">
        <v>45397</v>
      </c>
      <c r="E330" s="42" t="s">
        <v>160</v>
      </c>
      <c r="F330" s="76" t="s">
        <v>53</v>
      </c>
      <c r="G330" s="52">
        <v>-323.66000000000003</v>
      </c>
      <c r="H330" s="32" t="s">
        <v>682</v>
      </c>
      <c r="I330" s="32" t="s">
        <v>683</v>
      </c>
    </row>
    <row r="331" spans="1:10" ht="18.75">
      <c r="A331" t="s">
        <v>684</v>
      </c>
      <c r="B331">
        <v>4</v>
      </c>
      <c r="C331">
        <v>2024</v>
      </c>
      <c r="D331" s="54">
        <v>45397</v>
      </c>
      <c r="E331" s="42" t="s">
        <v>146</v>
      </c>
      <c r="F331" s="76" t="s">
        <v>53</v>
      </c>
      <c r="G331" s="52">
        <v>-542.38</v>
      </c>
      <c r="H331" s="32" t="s">
        <v>685</v>
      </c>
      <c r="I331" s="32" t="s">
        <v>686</v>
      </c>
    </row>
    <row r="332" spans="1:10" ht="18.75">
      <c r="A332" t="s">
        <v>687</v>
      </c>
      <c r="B332">
        <v>4</v>
      </c>
      <c r="C332">
        <v>2024</v>
      </c>
      <c r="D332" s="54">
        <v>45411</v>
      </c>
      <c r="E332" s="42" t="s">
        <v>160</v>
      </c>
      <c r="F332" s="76" t="s">
        <v>49</v>
      </c>
      <c r="G332" s="52">
        <v>-50</v>
      </c>
      <c r="H332" s="32" t="s">
        <v>161</v>
      </c>
    </row>
    <row r="333" spans="1:10" ht="18.75">
      <c r="A333" t="s">
        <v>688</v>
      </c>
      <c r="B333">
        <v>4</v>
      </c>
      <c r="C333">
        <v>2024</v>
      </c>
      <c r="D333" s="54">
        <v>45397</v>
      </c>
      <c r="E333" s="42" t="s">
        <v>160</v>
      </c>
      <c r="F333" s="76" t="s">
        <v>64</v>
      </c>
      <c r="G333" s="52">
        <v>-280</v>
      </c>
      <c r="H333" s="32" t="s">
        <v>208</v>
      </c>
    </row>
    <row r="334" spans="1:10" ht="18.75">
      <c r="A334" t="s">
        <v>689</v>
      </c>
      <c r="B334">
        <v>4</v>
      </c>
      <c r="C334">
        <v>2024</v>
      </c>
      <c r="D334" s="54">
        <v>45397</v>
      </c>
      <c r="E334" s="42" t="s">
        <v>146</v>
      </c>
      <c r="F334" s="76" t="s">
        <v>79</v>
      </c>
      <c r="G334" s="52">
        <v>542.38</v>
      </c>
      <c r="H334" s="32" t="s">
        <v>690</v>
      </c>
      <c r="I334" s="32" t="s">
        <v>691</v>
      </c>
    </row>
    <row r="335" spans="1:10" ht="18.75">
      <c r="A335" t="s">
        <v>692</v>
      </c>
      <c r="B335">
        <v>4</v>
      </c>
      <c r="C335">
        <v>2024</v>
      </c>
      <c r="D335" s="54">
        <v>45397</v>
      </c>
      <c r="E335" s="42" t="s">
        <v>146</v>
      </c>
      <c r="F335" s="76" t="s">
        <v>79</v>
      </c>
      <c r="G335" s="52">
        <v>-542.38</v>
      </c>
      <c r="H335" s="32" t="s">
        <v>693</v>
      </c>
      <c r="I335" s="32" t="s">
        <v>691</v>
      </c>
    </row>
    <row r="336" spans="1:10" ht="18.75">
      <c r="A336" t="s">
        <v>694</v>
      </c>
      <c r="B336">
        <v>4</v>
      </c>
      <c r="C336">
        <v>2024</v>
      </c>
      <c r="D336" s="54">
        <v>45397</v>
      </c>
      <c r="E336" s="42" t="s">
        <v>126</v>
      </c>
      <c r="F336" s="76" t="s">
        <v>72</v>
      </c>
      <c r="G336" s="52">
        <v>5961.95</v>
      </c>
      <c r="H336" s="32" t="s">
        <v>695</v>
      </c>
    </row>
    <row r="337" spans="1:10" ht="18.75">
      <c r="A337" t="s">
        <v>696</v>
      </c>
      <c r="B337">
        <v>4</v>
      </c>
      <c r="C337">
        <v>2024</v>
      </c>
      <c r="D337" s="54">
        <v>45398</v>
      </c>
      <c r="E337" s="42" t="s">
        <v>160</v>
      </c>
      <c r="F337" s="76" t="s">
        <v>51</v>
      </c>
      <c r="G337" s="52">
        <v>-125.57</v>
      </c>
      <c r="H337" s="32" t="s">
        <v>210</v>
      </c>
    </row>
    <row r="338" spans="1:10" ht="18.75">
      <c r="A338" t="s">
        <v>697</v>
      </c>
      <c r="B338">
        <v>4</v>
      </c>
      <c r="C338">
        <v>2024</v>
      </c>
      <c r="D338" s="54">
        <v>45398</v>
      </c>
      <c r="E338" s="42" t="s">
        <v>249</v>
      </c>
      <c r="F338" s="76" t="s">
        <v>39</v>
      </c>
      <c r="G338" s="52">
        <v>-108.01</v>
      </c>
      <c r="H338" s="32" t="s">
        <v>304</v>
      </c>
    </row>
    <row r="339" spans="1:10" ht="18.75">
      <c r="A339" t="s">
        <v>698</v>
      </c>
      <c r="B339">
        <v>4</v>
      </c>
      <c r="C339">
        <v>2024</v>
      </c>
      <c r="D339" s="54">
        <v>45398</v>
      </c>
      <c r="E339" s="42" t="s">
        <v>249</v>
      </c>
      <c r="F339" s="76" t="s">
        <v>79</v>
      </c>
      <c r="G339" s="52">
        <v>4149.17</v>
      </c>
      <c r="H339" s="32" t="s">
        <v>306</v>
      </c>
    </row>
    <row r="340" spans="1:10" ht="18.75">
      <c r="A340" t="s">
        <v>699</v>
      </c>
      <c r="B340">
        <v>4</v>
      </c>
      <c r="C340">
        <v>2024</v>
      </c>
      <c r="D340" s="54">
        <v>45398</v>
      </c>
      <c r="E340" s="42" t="s">
        <v>249</v>
      </c>
      <c r="F340" s="76" t="s">
        <v>65</v>
      </c>
      <c r="G340" s="52">
        <v>-101.06</v>
      </c>
      <c r="H340" s="32" t="s">
        <v>601</v>
      </c>
    </row>
    <row r="341" spans="1:10" ht="18.75">
      <c r="A341" t="s">
        <v>700</v>
      </c>
      <c r="B341">
        <v>4</v>
      </c>
      <c r="C341">
        <v>2024</v>
      </c>
      <c r="D341" s="54">
        <v>45398</v>
      </c>
      <c r="E341" s="42" t="s">
        <v>160</v>
      </c>
      <c r="F341" s="76" t="s">
        <v>60</v>
      </c>
      <c r="G341" s="52">
        <v>-96</v>
      </c>
      <c r="H341" s="32" t="s">
        <v>212</v>
      </c>
    </row>
    <row r="342" spans="1:10" ht="18.75">
      <c r="A342" t="s">
        <v>701</v>
      </c>
      <c r="B342">
        <v>4</v>
      </c>
      <c r="C342">
        <v>2024</v>
      </c>
      <c r="D342" s="54">
        <v>45398</v>
      </c>
      <c r="E342" s="42" t="s">
        <v>160</v>
      </c>
      <c r="F342" s="76" t="s">
        <v>43</v>
      </c>
      <c r="G342" s="52">
        <v>-9.0299999999999994</v>
      </c>
      <c r="H342" s="32" t="s">
        <v>163</v>
      </c>
    </row>
    <row r="343" spans="1:10" ht="18.75">
      <c r="A343" t="s">
        <v>702</v>
      </c>
      <c r="B343">
        <v>4</v>
      </c>
      <c r="C343">
        <v>2024</v>
      </c>
      <c r="D343" s="54">
        <v>45399</v>
      </c>
      <c r="E343" s="42" t="s">
        <v>249</v>
      </c>
      <c r="F343" s="76" t="s">
        <v>53</v>
      </c>
      <c r="G343" s="52">
        <v>-18.07</v>
      </c>
      <c r="H343" s="32" t="s">
        <v>703</v>
      </c>
    </row>
    <row r="344" spans="1:10" ht="18.75">
      <c r="A344" t="s">
        <v>704</v>
      </c>
      <c r="B344">
        <v>4</v>
      </c>
      <c r="C344">
        <v>2024</v>
      </c>
      <c r="D344" s="54">
        <v>45399</v>
      </c>
      <c r="E344" s="42" t="s">
        <v>249</v>
      </c>
      <c r="F344" s="76" t="s">
        <v>53</v>
      </c>
      <c r="G344" s="52">
        <v>-45.14</v>
      </c>
      <c r="H344" s="32" t="s">
        <v>705</v>
      </c>
    </row>
    <row r="345" spans="1:10" ht="18.75">
      <c r="A345" t="s">
        <v>706</v>
      </c>
      <c r="B345">
        <v>4</v>
      </c>
      <c r="C345">
        <v>2024</v>
      </c>
      <c r="D345" s="54">
        <v>45399</v>
      </c>
      <c r="E345" s="42" t="s">
        <v>249</v>
      </c>
      <c r="F345" s="76" t="s">
        <v>35</v>
      </c>
      <c r="G345" s="52">
        <v>-12.87</v>
      </c>
      <c r="H345" s="32" t="s">
        <v>707</v>
      </c>
    </row>
    <row r="346" spans="1:10" ht="18.75">
      <c r="A346" t="s">
        <v>708</v>
      </c>
      <c r="B346">
        <v>4</v>
      </c>
      <c r="C346">
        <v>2024</v>
      </c>
      <c r="D346" s="54">
        <v>45399</v>
      </c>
      <c r="E346" s="42" t="s">
        <v>160</v>
      </c>
      <c r="F346" s="76" t="s">
        <v>79</v>
      </c>
      <c r="G346" s="52">
        <v>-4149.17</v>
      </c>
      <c r="H346" s="32" t="s">
        <v>214</v>
      </c>
    </row>
    <row r="347" spans="1:10" ht="18.75">
      <c r="A347" t="s">
        <v>709</v>
      </c>
      <c r="B347">
        <v>4</v>
      </c>
      <c r="C347">
        <v>2024</v>
      </c>
      <c r="D347" s="54">
        <v>45399</v>
      </c>
      <c r="E347" s="42" t="s">
        <v>249</v>
      </c>
      <c r="F347" s="76" t="s">
        <v>65</v>
      </c>
      <c r="G347" s="52">
        <v>-27</v>
      </c>
      <c r="H347" s="32" t="s">
        <v>710</v>
      </c>
    </row>
    <row r="348" spans="1:10" ht="18.75">
      <c r="A348" t="s">
        <v>711</v>
      </c>
      <c r="B348">
        <v>4</v>
      </c>
      <c r="C348">
        <v>2024</v>
      </c>
      <c r="D348" s="54">
        <v>45399</v>
      </c>
      <c r="E348" s="42" t="s">
        <v>249</v>
      </c>
      <c r="F348" s="76" t="s">
        <v>54</v>
      </c>
      <c r="G348" s="52">
        <v>-2.25</v>
      </c>
      <c r="H348" s="32" t="s">
        <v>712</v>
      </c>
    </row>
    <row r="349" spans="1:10" ht="18.75">
      <c r="A349" t="s">
        <v>713</v>
      </c>
      <c r="B349">
        <v>4</v>
      </c>
      <c r="C349">
        <v>2024</v>
      </c>
      <c r="D349" s="54">
        <v>45399</v>
      </c>
      <c r="E349" s="42" t="s">
        <v>249</v>
      </c>
      <c r="F349" s="76" t="s">
        <v>54</v>
      </c>
      <c r="G349" s="52">
        <v>-22.35</v>
      </c>
      <c r="H349" s="32" t="s">
        <v>587</v>
      </c>
    </row>
    <row r="350" spans="1:10" ht="18.75">
      <c r="A350" t="s">
        <v>714</v>
      </c>
      <c r="B350">
        <v>4</v>
      </c>
      <c r="C350">
        <v>2024</v>
      </c>
      <c r="D350" s="54">
        <v>45401</v>
      </c>
      <c r="E350" s="42" t="s">
        <v>249</v>
      </c>
      <c r="F350" s="76" t="s">
        <v>58</v>
      </c>
      <c r="G350" s="52">
        <v>-11.73</v>
      </c>
      <c r="H350" s="32" t="s">
        <v>715</v>
      </c>
    </row>
    <row r="351" spans="1:10" ht="18.75">
      <c r="A351" t="s">
        <v>716</v>
      </c>
      <c r="B351">
        <v>4</v>
      </c>
      <c r="C351">
        <v>2024</v>
      </c>
      <c r="D351" s="54">
        <v>45401</v>
      </c>
      <c r="E351" s="42" t="s">
        <v>160</v>
      </c>
      <c r="F351" s="76" t="s">
        <v>33</v>
      </c>
      <c r="G351" s="52">
        <v>-443.25</v>
      </c>
      <c r="H351" s="32" t="s">
        <v>169</v>
      </c>
      <c r="J351">
        <v>3979.3</v>
      </c>
    </row>
    <row r="352" spans="1:10" ht="18.75">
      <c r="A352" t="s">
        <v>717</v>
      </c>
      <c r="B352">
        <v>4</v>
      </c>
      <c r="C352">
        <v>2024</v>
      </c>
      <c r="D352" s="54">
        <v>45401</v>
      </c>
      <c r="E352" s="42" t="s">
        <v>160</v>
      </c>
      <c r="F352" s="76" t="s">
        <v>79</v>
      </c>
      <c r="G352" s="52">
        <v>2046.79</v>
      </c>
      <c r="H352" s="32" t="s">
        <v>171</v>
      </c>
    </row>
    <row r="353" spans="1:10" ht="18.75">
      <c r="A353" t="s">
        <v>718</v>
      </c>
      <c r="B353">
        <v>4</v>
      </c>
      <c r="C353">
        <v>2024</v>
      </c>
      <c r="D353" s="54">
        <v>45401</v>
      </c>
      <c r="E353" s="42" t="s">
        <v>160</v>
      </c>
      <c r="F353" s="76" t="s">
        <v>63</v>
      </c>
      <c r="G353" s="52">
        <v>-102.8</v>
      </c>
      <c r="H353" s="32" t="s">
        <v>224</v>
      </c>
    </row>
    <row r="354" spans="1:10" ht="18.75">
      <c r="A354" t="s">
        <v>719</v>
      </c>
      <c r="B354">
        <v>4</v>
      </c>
      <c r="C354">
        <v>2024</v>
      </c>
      <c r="D354" s="54">
        <v>45401</v>
      </c>
      <c r="E354" s="42" t="s">
        <v>249</v>
      </c>
      <c r="F354" s="76" t="s">
        <v>57</v>
      </c>
      <c r="G354" s="52">
        <v>-5.89</v>
      </c>
      <c r="H354" s="32" t="s">
        <v>288</v>
      </c>
    </row>
    <row r="355" spans="1:10" ht="18.75">
      <c r="A355" t="s">
        <v>720</v>
      </c>
      <c r="B355">
        <v>4</v>
      </c>
      <c r="C355">
        <v>2024</v>
      </c>
      <c r="D355" s="54">
        <v>45402</v>
      </c>
      <c r="E355" s="42" t="s">
        <v>249</v>
      </c>
      <c r="F355" s="76" t="s">
        <v>53</v>
      </c>
      <c r="G355" s="52">
        <v>-19.2</v>
      </c>
      <c r="H355" s="32" t="s">
        <v>721</v>
      </c>
    </row>
    <row r="356" spans="1:10" ht="18.75">
      <c r="A356" t="s">
        <v>722</v>
      </c>
      <c r="B356">
        <v>4</v>
      </c>
      <c r="C356">
        <v>2024</v>
      </c>
      <c r="D356" s="54">
        <v>45402</v>
      </c>
      <c r="E356" s="42" t="s">
        <v>249</v>
      </c>
      <c r="F356" s="76" t="s">
        <v>57</v>
      </c>
      <c r="G356" s="52">
        <v>-127.23</v>
      </c>
      <c r="H356" s="32" t="s">
        <v>351</v>
      </c>
    </row>
    <row r="357" spans="1:10" ht="18.75">
      <c r="A357" t="s">
        <v>723</v>
      </c>
      <c r="B357">
        <v>4</v>
      </c>
      <c r="C357">
        <v>2024</v>
      </c>
      <c r="D357" s="54">
        <v>45402</v>
      </c>
      <c r="E357" s="42" t="s">
        <v>249</v>
      </c>
      <c r="F357" s="76" t="s">
        <v>57</v>
      </c>
      <c r="G357" s="52">
        <v>-57.95</v>
      </c>
      <c r="H357" s="32" t="s">
        <v>724</v>
      </c>
    </row>
    <row r="358" spans="1:10" ht="18.75">
      <c r="A358" t="s">
        <v>725</v>
      </c>
      <c r="B358">
        <v>4</v>
      </c>
      <c r="C358">
        <v>2024</v>
      </c>
      <c r="D358" s="54">
        <v>45402</v>
      </c>
      <c r="E358" s="42" t="s">
        <v>249</v>
      </c>
      <c r="F358" s="76" t="s">
        <v>32</v>
      </c>
      <c r="G358" s="52">
        <v>-66</v>
      </c>
      <c r="H358" s="32" t="s">
        <v>265</v>
      </c>
    </row>
    <row r="359" spans="1:10" ht="18.75">
      <c r="A359" t="s">
        <v>726</v>
      </c>
      <c r="B359">
        <v>4</v>
      </c>
      <c r="C359">
        <v>2024</v>
      </c>
      <c r="D359" s="54">
        <v>45403</v>
      </c>
      <c r="E359" s="42" t="s">
        <v>249</v>
      </c>
      <c r="F359" s="76" t="s">
        <v>53</v>
      </c>
      <c r="G359" s="52">
        <v>-50.95</v>
      </c>
      <c r="H359" s="32" t="s">
        <v>727</v>
      </c>
    </row>
    <row r="360" spans="1:10" ht="18.75">
      <c r="A360" t="s">
        <v>728</v>
      </c>
      <c r="B360">
        <v>4</v>
      </c>
      <c r="C360">
        <v>2024</v>
      </c>
      <c r="D360" s="54">
        <v>45404</v>
      </c>
      <c r="E360" s="42" t="s">
        <v>249</v>
      </c>
      <c r="F360" s="76" t="s">
        <v>58</v>
      </c>
      <c r="G360" s="52">
        <v>-33.340000000000003</v>
      </c>
      <c r="H360" s="32" t="s">
        <v>308</v>
      </c>
    </row>
    <row r="361" spans="1:10" ht="18.75">
      <c r="A361" t="s">
        <v>729</v>
      </c>
      <c r="B361">
        <v>4</v>
      </c>
      <c r="C361">
        <v>2024</v>
      </c>
      <c r="D361" s="54">
        <v>45404</v>
      </c>
      <c r="E361" s="42" t="s">
        <v>249</v>
      </c>
      <c r="F361" s="76" t="s">
        <v>53</v>
      </c>
      <c r="G361" s="52">
        <v>-4400.28</v>
      </c>
      <c r="H361" s="32" t="s">
        <v>730</v>
      </c>
    </row>
    <row r="362" spans="1:10" ht="18.75">
      <c r="A362" t="s">
        <v>731</v>
      </c>
      <c r="B362">
        <v>4</v>
      </c>
      <c r="C362">
        <v>2024</v>
      </c>
      <c r="D362" s="54">
        <v>45404</v>
      </c>
      <c r="E362" s="42" t="s">
        <v>126</v>
      </c>
      <c r="F362" s="76" t="s">
        <v>48</v>
      </c>
      <c r="G362" s="52">
        <v>0</v>
      </c>
      <c r="H362" s="32" t="s">
        <v>732</v>
      </c>
    </row>
    <row r="363" spans="1:10" ht="18.75">
      <c r="A363" t="s">
        <v>733</v>
      </c>
      <c r="B363">
        <v>4</v>
      </c>
      <c r="C363">
        <v>2024</v>
      </c>
      <c r="D363" s="54">
        <v>45404</v>
      </c>
      <c r="E363" s="42" t="s">
        <v>126</v>
      </c>
      <c r="F363" s="76" t="s">
        <v>48</v>
      </c>
      <c r="G363" s="52">
        <v>0</v>
      </c>
      <c r="H363" s="32" t="s">
        <v>734</v>
      </c>
    </row>
    <row r="364" spans="1:10" ht="18.75">
      <c r="A364" t="s">
        <v>735</v>
      </c>
      <c r="B364">
        <v>4</v>
      </c>
      <c r="C364">
        <v>2024</v>
      </c>
      <c r="D364" s="54">
        <v>45404</v>
      </c>
      <c r="E364" s="42" t="s">
        <v>160</v>
      </c>
      <c r="F364" s="76" t="s">
        <v>187</v>
      </c>
      <c r="G364" s="52">
        <v>-52.16</v>
      </c>
      <c r="H364" s="32" t="s">
        <v>220</v>
      </c>
    </row>
    <row r="365" spans="1:10" ht="18.75">
      <c r="A365" t="s">
        <v>736</v>
      </c>
      <c r="B365">
        <v>4</v>
      </c>
      <c r="C365">
        <v>2024</v>
      </c>
      <c r="D365" s="54">
        <v>45406</v>
      </c>
      <c r="E365" s="42" t="s">
        <v>249</v>
      </c>
      <c r="F365" s="76" t="s">
        <v>53</v>
      </c>
      <c r="G365" s="52">
        <v>-33.89</v>
      </c>
      <c r="H365" s="32" t="s">
        <v>737</v>
      </c>
      <c r="J365" t="s">
        <v>738</v>
      </c>
    </row>
    <row r="366" spans="1:10" ht="18.75">
      <c r="A366" t="s">
        <v>739</v>
      </c>
      <c r="B366">
        <v>4</v>
      </c>
      <c r="C366">
        <v>2024</v>
      </c>
      <c r="D366" s="54">
        <v>45406</v>
      </c>
      <c r="E366" s="42" t="s">
        <v>249</v>
      </c>
      <c r="F366" s="76" t="s">
        <v>65</v>
      </c>
      <c r="G366" s="52">
        <v>-33.89</v>
      </c>
      <c r="H366" s="32" t="s">
        <v>740</v>
      </c>
    </row>
    <row r="367" spans="1:10" ht="18.75">
      <c r="A367" t="s">
        <v>741</v>
      </c>
      <c r="B367">
        <v>4</v>
      </c>
      <c r="C367">
        <v>2024</v>
      </c>
      <c r="D367" s="54">
        <v>45406</v>
      </c>
      <c r="E367" s="42" t="s">
        <v>160</v>
      </c>
      <c r="F367" s="76" t="s">
        <v>29</v>
      </c>
      <c r="G367" s="52">
        <v>-225.75</v>
      </c>
      <c r="H367" s="32" t="s">
        <v>167</v>
      </c>
    </row>
    <row r="368" spans="1:10" ht="18.75">
      <c r="A368" t="s">
        <v>742</v>
      </c>
      <c r="B368">
        <v>4</v>
      </c>
      <c r="C368">
        <v>2024</v>
      </c>
      <c r="D368" s="54">
        <v>45407</v>
      </c>
      <c r="E368" s="42" t="s">
        <v>249</v>
      </c>
      <c r="F368" s="76" t="s">
        <v>34</v>
      </c>
      <c r="G368" s="52">
        <v>-42.5</v>
      </c>
      <c r="H368" s="32" t="s">
        <v>310</v>
      </c>
    </row>
    <row r="369" spans="1:8" ht="18.75">
      <c r="A369" t="s">
        <v>743</v>
      </c>
      <c r="B369">
        <v>4</v>
      </c>
      <c r="C369">
        <v>2024</v>
      </c>
      <c r="D369" s="54">
        <v>45407</v>
      </c>
      <c r="E369" s="42" t="s">
        <v>249</v>
      </c>
      <c r="F369" s="76" t="s">
        <v>34</v>
      </c>
      <c r="G369" s="52">
        <v>-64.099999999999994</v>
      </c>
      <c r="H369" s="32" t="s">
        <v>727</v>
      </c>
    </row>
    <row r="370" spans="1:8" ht="18.75">
      <c r="A370" t="s">
        <v>744</v>
      </c>
      <c r="B370">
        <v>4</v>
      </c>
      <c r="C370">
        <v>2024</v>
      </c>
      <c r="D370" s="54">
        <v>45407</v>
      </c>
      <c r="E370" s="42" t="s">
        <v>160</v>
      </c>
      <c r="F370" s="76" t="s">
        <v>48</v>
      </c>
      <c r="G370" s="52">
        <v>-4</v>
      </c>
      <c r="H370" s="32" t="s">
        <v>228</v>
      </c>
    </row>
    <row r="371" spans="1:8" ht="18.75">
      <c r="A371" t="s">
        <v>745</v>
      </c>
      <c r="B371">
        <v>4</v>
      </c>
      <c r="C371">
        <v>2024</v>
      </c>
      <c r="D371" s="54">
        <v>45407</v>
      </c>
      <c r="E371" s="42" t="s">
        <v>160</v>
      </c>
      <c r="F371" s="76" t="s">
        <v>48</v>
      </c>
      <c r="G371" s="52">
        <v>-8.75</v>
      </c>
      <c r="H371" s="32" t="s">
        <v>746</v>
      </c>
    </row>
    <row r="372" spans="1:8" ht="18.75">
      <c r="A372" t="s">
        <v>747</v>
      </c>
      <c r="B372">
        <v>4</v>
      </c>
      <c r="C372">
        <v>2024</v>
      </c>
      <c r="D372" s="54">
        <v>45407</v>
      </c>
      <c r="E372" s="42" t="s">
        <v>160</v>
      </c>
      <c r="F372" s="76" t="s">
        <v>79</v>
      </c>
      <c r="G372" s="52">
        <v>1282.33</v>
      </c>
      <c r="H372" s="32" t="s">
        <v>190</v>
      </c>
    </row>
    <row r="373" spans="1:8" ht="18.75">
      <c r="A373" t="s">
        <v>748</v>
      </c>
      <c r="B373">
        <v>4</v>
      </c>
      <c r="C373">
        <v>2024</v>
      </c>
      <c r="D373" s="54">
        <v>45407</v>
      </c>
      <c r="E373" s="42" t="s">
        <v>249</v>
      </c>
      <c r="F373" s="76" t="s">
        <v>65</v>
      </c>
      <c r="G373" s="52">
        <v>-29.37</v>
      </c>
      <c r="H373" s="32" t="s">
        <v>601</v>
      </c>
    </row>
    <row r="374" spans="1:8" ht="18.75">
      <c r="A374" t="s">
        <v>749</v>
      </c>
      <c r="B374">
        <v>4</v>
      </c>
      <c r="C374">
        <v>2024</v>
      </c>
      <c r="D374" s="54">
        <v>45407</v>
      </c>
      <c r="E374" s="42" t="s">
        <v>249</v>
      </c>
      <c r="F374" s="76" t="s">
        <v>55</v>
      </c>
      <c r="G374" s="52">
        <v>-287.85000000000002</v>
      </c>
      <c r="H374" s="32" t="s">
        <v>356</v>
      </c>
    </row>
    <row r="375" spans="1:8" ht="18.75">
      <c r="A375" t="s">
        <v>750</v>
      </c>
      <c r="B375">
        <v>4</v>
      </c>
      <c r="C375">
        <v>2024</v>
      </c>
      <c r="D375" s="54">
        <v>45407</v>
      </c>
      <c r="E375" s="42" t="s">
        <v>249</v>
      </c>
      <c r="F375" s="76" t="s">
        <v>32</v>
      </c>
      <c r="G375" s="52">
        <v>-14.68</v>
      </c>
      <c r="H375" s="32" t="s">
        <v>751</v>
      </c>
    </row>
    <row r="376" spans="1:8" ht="18.75">
      <c r="A376" t="s">
        <v>752</v>
      </c>
      <c r="B376">
        <v>4</v>
      </c>
      <c r="C376">
        <v>2024</v>
      </c>
      <c r="D376" s="54">
        <v>45408</v>
      </c>
      <c r="E376" s="42" t="s">
        <v>249</v>
      </c>
      <c r="F376" s="76" t="s">
        <v>53</v>
      </c>
      <c r="G376" s="52">
        <v>-21.46</v>
      </c>
      <c r="H376" s="32" t="s">
        <v>753</v>
      </c>
    </row>
    <row r="377" spans="1:8" ht="18.75">
      <c r="A377" t="s">
        <v>754</v>
      </c>
      <c r="B377">
        <v>4</v>
      </c>
      <c r="C377">
        <v>2024</v>
      </c>
      <c r="D377" s="54">
        <v>45408</v>
      </c>
      <c r="E377" s="42" t="s">
        <v>249</v>
      </c>
      <c r="F377" s="76" t="s">
        <v>53</v>
      </c>
      <c r="G377" s="52">
        <v>-192.1</v>
      </c>
      <c r="H377" s="32" t="s">
        <v>707</v>
      </c>
    </row>
    <row r="378" spans="1:8" ht="18.75">
      <c r="A378" t="s">
        <v>755</v>
      </c>
      <c r="B378">
        <v>4</v>
      </c>
      <c r="C378">
        <v>2024</v>
      </c>
      <c r="D378" s="54">
        <v>45408</v>
      </c>
      <c r="E378" s="42" t="s">
        <v>249</v>
      </c>
      <c r="F378" s="76" t="s">
        <v>54</v>
      </c>
      <c r="G378" s="52">
        <v>-3.76</v>
      </c>
      <c r="H378" s="32" t="s">
        <v>312</v>
      </c>
    </row>
    <row r="379" spans="1:8" ht="18.75">
      <c r="A379" t="s">
        <v>756</v>
      </c>
      <c r="B379">
        <v>4</v>
      </c>
      <c r="C379">
        <v>2024</v>
      </c>
      <c r="D379" s="54">
        <v>45408</v>
      </c>
      <c r="E379" s="42" t="s">
        <v>249</v>
      </c>
      <c r="F379" s="76" t="s">
        <v>41</v>
      </c>
      <c r="G379" s="52">
        <v>-33.56</v>
      </c>
      <c r="H379" s="32" t="s">
        <v>631</v>
      </c>
    </row>
    <row r="380" spans="1:8" ht="18.75">
      <c r="A380" t="s">
        <v>757</v>
      </c>
      <c r="B380">
        <v>4</v>
      </c>
      <c r="C380">
        <v>2024</v>
      </c>
      <c r="D380" s="54">
        <v>45409</v>
      </c>
      <c r="E380" s="42" t="s">
        <v>249</v>
      </c>
      <c r="F380" s="76" t="s">
        <v>34</v>
      </c>
      <c r="G380" s="52">
        <v>-80.900000000000006</v>
      </c>
      <c r="H380" s="32" t="s">
        <v>758</v>
      </c>
    </row>
    <row r="381" spans="1:8" ht="18.75">
      <c r="A381" t="s">
        <v>759</v>
      </c>
      <c r="B381">
        <v>4</v>
      </c>
      <c r="C381">
        <v>2024</v>
      </c>
      <c r="D381" s="54">
        <v>45409</v>
      </c>
      <c r="E381" s="42" t="s">
        <v>249</v>
      </c>
      <c r="F381" s="76" t="s">
        <v>34</v>
      </c>
      <c r="G381" s="52">
        <v>-31.95</v>
      </c>
      <c r="H381" s="32" t="s">
        <v>760</v>
      </c>
    </row>
    <row r="382" spans="1:8" ht="18.75">
      <c r="A382" t="s">
        <v>761</v>
      </c>
      <c r="B382">
        <v>4</v>
      </c>
      <c r="C382">
        <v>2024</v>
      </c>
      <c r="D382" s="54">
        <v>45409</v>
      </c>
      <c r="E382" s="42" t="s">
        <v>249</v>
      </c>
      <c r="F382" s="76" t="s">
        <v>34</v>
      </c>
      <c r="G382" s="52">
        <v>-28.22</v>
      </c>
      <c r="H382" s="32" t="s">
        <v>762</v>
      </c>
    </row>
    <row r="383" spans="1:8" ht="18.75">
      <c r="A383" t="s">
        <v>763</v>
      </c>
      <c r="B383">
        <v>4</v>
      </c>
      <c r="C383">
        <v>2024</v>
      </c>
      <c r="D383" s="54">
        <v>45409</v>
      </c>
      <c r="E383" s="42" t="s">
        <v>249</v>
      </c>
      <c r="F383" s="76" t="s">
        <v>34</v>
      </c>
      <c r="G383" s="52">
        <v>-6.67</v>
      </c>
      <c r="H383" s="32" t="s">
        <v>764</v>
      </c>
    </row>
    <row r="384" spans="1:8" ht="18.75">
      <c r="A384" t="s">
        <v>765</v>
      </c>
      <c r="B384">
        <v>4</v>
      </c>
      <c r="C384">
        <v>2024</v>
      </c>
      <c r="D384" s="54">
        <v>45409</v>
      </c>
      <c r="E384" s="42" t="s">
        <v>249</v>
      </c>
      <c r="F384" s="76" t="s">
        <v>62</v>
      </c>
      <c r="G384" s="52">
        <v>-27.29</v>
      </c>
      <c r="H384" s="32" t="s">
        <v>766</v>
      </c>
    </row>
    <row r="385" spans="1:9" ht="18.75">
      <c r="A385" t="s">
        <v>767</v>
      </c>
      <c r="B385">
        <v>4</v>
      </c>
      <c r="C385">
        <v>2024</v>
      </c>
      <c r="D385" s="54">
        <v>45410</v>
      </c>
      <c r="E385" s="42" t="s">
        <v>249</v>
      </c>
      <c r="F385" s="76" t="s">
        <v>57</v>
      </c>
      <c r="G385" s="52">
        <v>-74.64</v>
      </c>
      <c r="H385" s="32" t="s">
        <v>282</v>
      </c>
    </row>
    <row r="386" spans="1:9" ht="18.75">
      <c r="A386" t="s">
        <v>768</v>
      </c>
      <c r="B386">
        <v>4</v>
      </c>
      <c r="C386">
        <v>2024</v>
      </c>
      <c r="D386" s="54">
        <v>45410</v>
      </c>
      <c r="E386" s="42" t="s">
        <v>249</v>
      </c>
      <c r="F386" s="76" t="s">
        <v>54</v>
      </c>
      <c r="G386" s="52">
        <v>-9.02</v>
      </c>
      <c r="H386" s="32" t="s">
        <v>769</v>
      </c>
    </row>
    <row r="387" spans="1:9" ht="18.75">
      <c r="A387" t="s">
        <v>770</v>
      </c>
      <c r="B387">
        <v>4</v>
      </c>
      <c r="C387">
        <v>2024</v>
      </c>
      <c r="D387" s="54">
        <v>45410</v>
      </c>
      <c r="E387" s="42" t="s">
        <v>249</v>
      </c>
      <c r="F387" s="76" t="s">
        <v>32</v>
      </c>
      <c r="G387" s="52">
        <v>-55.14</v>
      </c>
      <c r="H387" s="32" t="s">
        <v>771</v>
      </c>
    </row>
    <row r="388" spans="1:9" ht="18.75">
      <c r="B388">
        <v>4</v>
      </c>
      <c r="C388">
        <v>2024</v>
      </c>
      <c r="D388" s="54">
        <v>45411</v>
      </c>
      <c r="E388" s="42" t="s">
        <v>160</v>
      </c>
      <c r="F388" s="76" t="s">
        <v>58</v>
      </c>
      <c r="G388" s="52">
        <v>-59.44</v>
      </c>
      <c r="H388" s="32" t="s">
        <v>772</v>
      </c>
      <c r="I388" s="32" t="s">
        <v>773</v>
      </c>
    </row>
    <row r="389" spans="1:9" ht="18.75">
      <c r="B389">
        <v>4</v>
      </c>
      <c r="C389">
        <v>2024</v>
      </c>
      <c r="D389" s="54">
        <v>45411</v>
      </c>
      <c r="E389" s="42" t="s">
        <v>160</v>
      </c>
      <c r="F389" s="76" t="s">
        <v>58</v>
      </c>
      <c r="G389" s="52">
        <v>-77.069999999999993</v>
      </c>
      <c r="H389" s="32" t="s">
        <v>772</v>
      </c>
      <c r="I389" s="32" t="s">
        <v>774</v>
      </c>
    </row>
    <row r="390" spans="1:9" ht="18.75">
      <c r="B390">
        <v>4</v>
      </c>
      <c r="C390">
        <v>2024</v>
      </c>
      <c r="D390" s="54">
        <v>45411</v>
      </c>
      <c r="E390" s="42" t="s">
        <v>146</v>
      </c>
      <c r="F390" s="76" t="s">
        <v>53</v>
      </c>
      <c r="G390" s="52">
        <v>1500</v>
      </c>
      <c r="H390" s="32" t="s">
        <v>772</v>
      </c>
      <c r="I390" s="32" t="s">
        <v>775</v>
      </c>
    </row>
    <row r="391" spans="1:9" ht="18.75">
      <c r="B391">
        <v>4</v>
      </c>
      <c r="C391">
        <v>2024</v>
      </c>
      <c r="D391" s="54">
        <v>45411</v>
      </c>
      <c r="E391" s="42" t="s">
        <v>146</v>
      </c>
      <c r="F391" s="76" t="s">
        <v>53</v>
      </c>
      <c r="G391" s="52">
        <v>1200</v>
      </c>
      <c r="H391" s="32" t="s">
        <v>772</v>
      </c>
      <c r="I391" s="32" t="s">
        <v>776</v>
      </c>
    </row>
    <row r="392" spans="1:9" ht="18.75">
      <c r="A392" t="s">
        <v>777</v>
      </c>
      <c r="B392">
        <v>5</v>
      </c>
      <c r="C392">
        <v>2024</v>
      </c>
      <c r="D392" s="54">
        <v>45413</v>
      </c>
      <c r="E392" s="42" t="s">
        <v>160</v>
      </c>
      <c r="F392" s="76" t="s">
        <v>49</v>
      </c>
      <c r="G392" s="52">
        <v>-50</v>
      </c>
      <c r="H392" s="32" t="s">
        <v>173</v>
      </c>
    </row>
    <row r="393" spans="1:9" ht="18.75">
      <c r="A393" t="s">
        <v>778</v>
      </c>
      <c r="B393">
        <v>4</v>
      </c>
      <c r="C393">
        <v>2024</v>
      </c>
      <c r="D393" s="54">
        <v>45411</v>
      </c>
      <c r="E393" s="42" t="s">
        <v>249</v>
      </c>
      <c r="F393" s="76" t="s">
        <v>79</v>
      </c>
      <c r="G393" s="52">
        <v>7846.1</v>
      </c>
      <c r="H393" s="32" t="s">
        <v>402</v>
      </c>
    </row>
    <row r="394" spans="1:9" ht="18.75">
      <c r="A394" t="s">
        <v>779</v>
      </c>
      <c r="B394">
        <v>4</v>
      </c>
      <c r="C394">
        <v>2024</v>
      </c>
      <c r="D394" s="54">
        <v>45411</v>
      </c>
      <c r="E394" s="42" t="s">
        <v>160</v>
      </c>
      <c r="F394" s="76" t="s">
        <v>79</v>
      </c>
      <c r="G394" s="52">
        <v>231</v>
      </c>
      <c r="H394" s="32" t="s">
        <v>780</v>
      </c>
    </row>
    <row r="395" spans="1:9" ht="18.75">
      <c r="A395" t="s">
        <v>781</v>
      </c>
      <c r="B395">
        <v>4</v>
      </c>
      <c r="C395">
        <v>2024</v>
      </c>
      <c r="D395" s="54">
        <v>45411</v>
      </c>
      <c r="E395" s="42" t="s">
        <v>160</v>
      </c>
      <c r="F395" s="76" t="s">
        <v>79</v>
      </c>
      <c r="G395" s="52">
        <v>80</v>
      </c>
      <c r="H395" s="32" t="s">
        <v>782</v>
      </c>
    </row>
    <row r="396" spans="1:9" ht="18.75">
      <c r="A396" t="s">
        <v>783</v>
      </c>
      <c r="B396">
        <v>4</v>
      </c>
      <c r="C396">
        <v>2024</v>
      </c>
      <c r="D396" s="54">
        <v>45411</v>
      </c>
      <c r="E396" s="42" t="s">
        <v>160</v>
      </c>
      <c r="F396" s="76" t="s">
        <v>79</v>
      </c>
      <c r="G396" s="52">
        <v>-56.49</v>
      </c>
      <c r="H396" s="32" t="s">
        <v>784</v>
      </c>
    </row>
    <row r="397" spans="1:9" ht="18.75">
      <c r="A397" t="s">
        <v>785</v>
      </c>
      <c r="B397">
        <v>4</v>
      </c>
      <c r="C397">
        <v>2024</v>
      </c>
      <c r="D397" s="54">
        <v>45411</v>
      </c>
      <c r="E397" s="42" t="s">
        <v>160</v>
      </c>
      <c r="F397" s="76" t="s">
        <v>79</v>
      </c>
      <c r="G397" s="52">
        <v>-454.08</v>
      </c>
      <c r="H397" s="32" t="s">
        <v>786</v>
      </c>
    </row>
    <row r="398" spans="1:9" ht="18.75">
      <c r="B398">
        <v>4</v>
      </c>
      <c r="C398">
        <v>2024</v>
      </c>
      <c r="D398" s="54">
        <v>45411</v>
      </c>
      <c r="E398" s="42" t="s">
        <v>160</v>
      </c>
      <c r="F398" s="76" t="s">
        <v>63</v>
      </c>
      <c r="G398" s="52">
        <v>77.069999999999993</v>
      </c>
      <c r="H398" s="32" t="s">
        <v>772</v>
      </c>
      <c r="I398" s="32" t="s">
        <v>787</v>
      </c>
    </row>
    <row r="399" spans="1:9" ht="18.75">
      <c r="B399">
        <v>4</v>
      </c>
      <c r="C399">
        <v>2024</v>
      </c>
      <c r="D399" s="54">
        <v>45411</v>
      </c>
      <c r="E399" s="42" t="s">
        <v>160</v>
      </c>
      <c r="F399" s="76" t="s">
        <v>57</v>
      </c>
      <c r="G399" s="52">
        <v>80</v>
      </c>
      <c r="H399" s="32" t="s">
        <v>788</v>
      </c>
      <c r="I399" s="32" t="s">
        <v>789</v>
      </c>
    </row>
    <row r="400" spans="1:9" ht="18.75">
      <c r="B400">
        <v>4</v>
      </c>
      <c r="C400">
        <v>2024</v>
      </c>
      <c r="D400" s="54">
        <v>45411</v>
      </c>
      <c r="E400" s="42" t="s">
        <v>160</v>
      </c>
      <c r="F400" s="76" t="s">
        <v>55</v>
      </c>
      <c r="G400" s="52">
        <v>59.44</v>
      </c>
      <c r="H400" s="32" t="s">
        <v>772</v>
      </c>
      <c r="I400" s="32" t="s">
        <v>787</v>
      </c>
    </row>
    <row r="401" spans="1:8" ht="18.75">
      <c r="A401" t="s">
        <v>790</v>
      </c>
      <c r="B401">
        <v>4</v>
      </c>
      <c r="C401">
        <v>2024</v>
      </c>
      <c r="D401" s="54">
        <v>45412</v>
      </c>
      <c r="E401" s="42" t="s">
        <v>146</v>
      </c>
      <c r="F401" s="76" t="s">
        <v>79</v>
      </c>
      <c r="G401" s="52">
        <v>1500</v>
      </c>
      <c r="H401" s="32" t="s">
        <v>791</v>
      </c>
    </row>
    <row r="402" spans="1:8" ht="18.75">
      <c r="A402" s="77" t="s">
        <v>792</v>
      </c>
      <c r="B402">
        <v>4</v>
      </c>
      <c r="C402">
        <v>2024</v>
      </c>
      <c r="D402" s="54">
        <v>45412</v>
      </c>
      <c r="E402" s="42" t="s">
        <v>160</v>
      </c>
      <c r="F402" s="76" t="s">
        <v>79</v>
      </c>
      <c r="G402" s="52">
        <v>1500</v>
      </c>
      <c r="H402" s="32" t="s">
        <v>793</v>
      </c>
    </row>
    <row r="403" spans="1:8" ht="18.75">
      <c r="A403" t="s">
        <v>794</v>
      </c>
      <c r="B403">
        <v>4</v>
      </c>
      <c r="C403">
        <v>2024</v>
      </c>
      <c r="D403" s="54">
        <v>45412</v>
      </c>
      <c r="E403" s="42" t="s">
        <v>160</v>
      </c>
      <c r="F403" s="76" t="s">
        <v>79</v>
      </c>
      <c r="G403" s="52">
        <v>454.08</v>
      </c>
      <c r="H403" s="32" t="s">
        <v>795</v>
      </c>
    </row>
    <row r="404" spans="1:8" ht="18.75">
      <c r="A404" t="s">
        <v>796</v>
      </c>
      <c r="B404">
        <v>4</v>
      </c>
      <c r="C404">
        <v>2024</v>
      </c>
      <c r="D404" s="54">
        <v>45412</v>
      </c>
      <c r="E404" s="42" t="s">
        <v>160</v>
      </c>
      <c r="F404" s="76" t="s">
        <v>79</v>
      </c>
      <c r="G404" s="52">
        <v>-7846.1</v>
      </c>
      <c r="H404" s="32" t="s">
        <v>797</v>
      </c>
    </row>
    <row r="405" spans="1:8" ht="18.75">
      <c r="A405" t="s">
        <v>798</v>
      </c>
      <c r="B405">
        <v>4</v>
      </c>
      <c r="C405">
        <v>2024</v>
      </c>
      <c r="D405" s="54">
        <v>45412</v>
      </c>
      <c r="E405" s="42" t="s">
        <v>160</v>
      </c>
      <c r="F405" s="76" t="s">
        <v>79</v>
      </c>
      <c r="G405" s="52">
        <v>3979.3</v>
      </c>
      <c r="H405" s="32" t="s">
        <v>799</v>
      </c>
    </row>
    <row r="406" spans="1:8" ht="18.75">
      <c r="A406" t="s">
        <v>800</v>
      </c>
      <c r="B406">
        <v>4</v>
      </c>
      <c r="C406">
        <v>2024</v>
      </c>
      <c r="D406" s="54">
        <v>45412</v>
      </c>
      <c r="E406" s="42" t="s">
        <v>126</v>
      </c>
      <c r="F406" s="76" t="s">
        <v>79</v>
      </c>
      <c r="G406" s="52">
        <v>-1500</v>
      </c>
      <c r="H406" s="32" t="s">
        <v>801</v>
      </c>
    </row>
    <row r="407" spans="1:8" ht="18.75">
      <c r="A407" t="s">
        <v>802</v>
      </c>
      <c r="B407">
        <v>4</v>
      </c>
      <c r="C407">
        <v>2024</v>
      </c>
      <c r="D407" s="54">
        <v>45412</v>
      </c>
      <c r="E407" s="42" t="s">
        <v>146</v>
      </c>
      <c r="F407" s="76" t="s">
        <v>79</v>
      </c>
      <c r="G407" s="52">
        <v>-400</v>
      </c>
      <c r="H407" s="32" t="s">
        <v>803</v>
      </c>
    </row>
    <row r="408" spans="1:8" ht="18.75">
      <c r="A408" t="s">
        <v>804</v>
      </c>
      <c r="B408">
        <v>4</v>
      </c>
      <c r="C408">
        <v>2024</v>
      </c>
      <c r="D408" s="54">
        <v>45412</v>
      </c>
      <c r="E408" s="42" t="s">
        <v>146</v>
      </c>
      <c r="F408" s="76" t="s">
        <v>79</v>
      </c>
      <c r="G408" s="52">
        <v>-1500</v>
      </c>
      <c r="H408" s="32" t="s">
        <v>805</v>
      </c>
    </row>
    <row r="409" spans="1:8" ht="18.75">
      <c r="A409" t="s">
        <v>806</v>
      </c>
      <c r="B409">
        <v>4</v>
      </c>
      <c r="C409">
        <v>2024</v>
      </c>
      <c r="D409" s="54">
        <v>45412</v>
      </c>
      <c r="E409" s="42" t="s">
        <v>146</v>
      </c>
      <c r="F409" s="76" t="s">
        <v>79</v>
      </c>
      <c r="G409" s="52">
        <v>-3979.3</v>
      </c>
      <c r="H409" s="32" t="s">
        <v>807</v>
      </c>
    </row>
    <row r="410" spans="1:8" ht="18.75">
      <c r="A410" t="s">
        <v>808</v>
      </c>
      <c r="B410">
        <v>4</v>
      </c>
      <c r="C410">
        <v>2024</v>
      </c>
      <c r="D410" s="54">
        <v>45412</v>
      </c>
      <c r="E410" s="42" t="s">
        <v>160</v>
      </c>
      <c r="F410" s="76" t="s">
        <v>43</v>
      </c>
      <c r="G410" s="52">
        <v>-9.0299999999999994</v>
      </c>
      <c r="H410" s="32" t="s">
        <v>163</v>
      </c>
    </row>
    <row r="411" spans="1:8" ht="18.75">
      <c r="A411" t="s">
        <v>809</v>
      </c>
      <c r="B411">
        <v>4</v>
      </c>
      <c r="C411">
        <v>2024</v>
      </c>
      <c r="D411" s="54">
        <v>45412</v>
      </c>
      <c r="E411" s="42" t="s">
        <v>249</v>
      </c>
      <c r="F411" s="76" t="s">
        <v>54</v>
      </c>
      <c r="G411" s="52">
        <v>-6.52</v>
      </c>
      <c r="H411" s="32" t="s">
        <v>631</v>
      </c>
    </row>
    <row r="412" spans="1:8" ht="18.75">
      <c r="A412" t="s">
        <v>810</v>
      </c>
      <c r="B412">
        <v>4</v>
      </c>
      <c r="C412">
        <v>2024</v>
      </c>
      <c r="D412" s="54">
        <v>45412</v>
      </c>
      <c r="E412" s="42" t="s">
        <v>249</v>
      </c>
      <c r="F412" s="76" t="s">
        <v>54</v>
      </c>
      <c r="G412" s="52">
        <v>-35.020000000000003</v>
      </c>
      <c r="H412" s="32" t="s">
        <v>380</v>
      </c>
    </row>
    <row r="413" spans="1:8" ht="18.75">
      <c r="A413" t="s">
        <v>811</v>
      </c>
      <c r="B413">
        <v>5</v>
      </c>
      <c r="C413">
        <v>2024</v>
      </c>
      <c r="D413" s="54">
        <v>45425</v>
      </c>
      <c r="E413" s="42" t="s">
        <v>160</v>
      </c>
      <c r="F413" s="76" t="s">
        <v>49</v>
      </c>
      <c r="G413" s="52">
        <v>-50</v>
      </c>
      <c r="H413" s="32" t="s">
        <v>161</v>
      </c>
    </row>
    <row r="414" spans="1:8" ht="18.75">
      <c r="A414" t="s">
        <v>812</v>
      </c>
      <c r="B414">
        <v>5</v>
      </c>
      <c r="C414">
        <v>2024</v>
      </c>
      <c r="D414" s="54">
        <v>45413</v>
      </c>
      <c r="E414" s="42" t="s">
        <v>249</v>
      </c>
      <c r="F414" s="76" t="s">
        <v>399</v>
      </c>
      <c r="G414" s="52">
        <v>-35</v>
      </c>
      <c r="H414" s="32" t="s">
        <v>400</v>
      </c>
    </row>
    <row r="415" spans="1:8" ht="18.75">
      <c r="A415" t="s">
        <v>813</v>
      </c>
      <c r="B415">
        <v>5</v>
      </c>
      <c r="C415">
        <v>2024</v>
      </c>
      <c r="D415" s="54">
        <v>45413</v>
      </c>
      <c r="E415" s="42" t="s">
        <v>146</v>
      </c>
      <c r="F415" s="76" t="s">
        <v>48</v>
      </c>
      <c r="G415" s="52">
        <v>4.87</v>
      </c>
      <c r="H415" s="32" t="s">
        <v>175</v>
      </c>
    </row>
    <row r="416" spans="1:8" ht="18.75">
      <c r="A416" t="s">
        <v>814</v>
      </c>
      <c r="B416">
        <v>5</v>
      </c>
      <c r="C416">
        <v>2024</v>
      </c>
      <c r="D416" s="54">
        <v>45413</v>
      </c>
      <c r="E416" s="42" t="s">
        <v>249</v>
      </c>
      <c r="F416" s="76" t="s">
        <v>48</v>
      </c>
      <c r="G416" s="52">
        <v>35.090000000000003</v>
      </c>
      <c r="H416" s="32" t="s">
        <v>815</v>
      </c>
    </row>
    <row r="417" spans="1:8" ht="18.75">
      <c r="A417" t="s">
        <v>816</v>
      </c>
      <c r="B417">
        <v>5</v>
      </c>
      <c r="C417">
        <v>2024</v>
      </c>
      <c r="D417" s="54">
        <v>45413</v>
      </c>
      <c r="E417" s="42" t="s">
        <v>249</v>
      </c>
      <c r="F417" s="76" t="s">
        <v>48</v>
      </c>
      <c r="G417" s="52">
        <v>2.38</v>
      </c>
      <c r="H417" s="32" t="s">
        <v>815</v>
      </c>
    </row>
    <row r="418" spans="1:8" ht="18.75">
      <c r="A418" t="s">
        <v>817</v>
      </c>
      <c r="B418">
        <v>5</v>
      </c>
      <c r="C418">
        <v>2024</v>
      </c>
      <c r="D418" s="54">
        <v>45413</v>
      </c>
      <c r="E418" s="42" t="s">
        <v>146</v>
      </c>
      <c r="F418" s="76" t="s">
        <v>79</v>
      </c>
      <c r="G418" s="52">
        <v>2110</v>
      </c>
      <c r="H418" s="32" t="s">
        <v>818</v>
      </c>
    </row>
    <row r="419" spans="1:8" ht="18.75">
      <c r="A419" t="s">
        <v>819</v>
      </c>
      <c r="B419">
        <v>5</v>
      </c>
      <c r="C419">
        <v>2024</v>
      </c>
      <c r="D419" s="54">
        <v>45413</v>
      </c>
      <c r="E419" s="42" t="s">
        <v>126</v>
      </c>
      <c r="F419" s="76" t="s">
        <v>79</v>
      </c>
      <c r="G419" s="52">
        <v>450</v>
      </c>
      <c r="H419" s="32" t="s">
        <v>820</v>
      </c>
    </row>
    <row r="420" spans="1:8" ht="18.75">
      <c r="A420" t="s">
        <v>821</v>
      </c>
      <c r="B420">
        <v>5</v>
      </c>
      <c r="C420">
        <v>2024</v>
      </c>
      <c r="D420" s="54">
        <v>45413</v>
      </c>
      <c r="E420" s="42" t="s">
        <v>160</v>
      </c>
      <c r="F420" s="76" t="s">
        <v>79</v>
      </c>
      <c r="G420" s="52">
        <v>-2110</v>
      </c>
      <c r="H420" s="32" t="s">
        <v>822</v>
      </c>
    </row>
    <row r="421" spans="1:8" ht="18.75">
      <c r="A421" t="s">
        <v>823</v>
      </c>
      <c r="B421">
        <v>5</v>
      </c>
      <c r="C421">
        <v>2024</v>
      </c>
      <c r="D421" s="54">
        <v>45413</v>
      </c>
      <c r="E421" s="42" t="s">
        <v>160</v>
      </c>
      <c r="F421" s="76" t="s">
        <v>187</v>
      </c>
      <c r="G421" s="52">
        <v>-450</v>
      </c>
      <c r="H421" s="32" t="s">
        <v>824</v>
      </c>
    </row>
    <row r="422" spans="1:8" ht="18.75">
      <c r="A422" t="s">
        <v>825</v>
      </c>
      <c r="B422">
        <v>5</v>
      </c>
      <c r="C422">
        <v>2024</v>
      </c>
      <c r="D422" s="54">
        <v>45413</v>
      </c>
      <c r="E422" s="42" t="s">
        <v>160</v>
      </c>
      <c r="F422" s="76" t="s">
        <v>40</v>
      </c>
      <c r="G422" s="52">
        <v>-100</v>
      </c>
      <c r="H422" s="32" t="s">
        <v>826</v>
      </c>
    </row>
    <row r="423" spans="1:8" ht="18.75">
      <c r="A423" t="s">
        <v>827</v>
      </c>
      <c r="B423">
        <v>5</v>
      </c>
      <c r="C423">
        <v>2024</v>
      </c>
      <c r="D423" s="54">
        <v>45413</v>
      </c>
      <c r="E423" s="42" t="s">
        <v>160</v>
      </c>
      <c r="F423" s="76" t="s">
        <v>40</v>
      </c>
      <c r="G423" s="52">
        <v>-100</v>
      </c>
      <c r="H423" s="32" t="s">
        <v>828</v>
      </c>
    </row>
    <row r="424" spans="1:8" ht="18.75">
      <c r="A424" t="s">
        <v>829</v>
      </c>
      <c r="B424">
        <v>5</v>
      </c>
      <c r="C424">
        <v>2024</v>
      </c>
      <c r="D424" s="54">
        <v>45414</v>
      </c>
      <c r="E424" s="42" t="s">
        <v>249</v>
      </c>
      <c r="F424" s="76" t="s">
        <v>45</v>
      </c>
      <c r="G424" s="52">
        <v>-49.72</v>
      </c>
      <c r="H424" s="32" t="s">
        <v>250</v>
      </c>
    </row>
    <row r="425" spans="1:8" ht="18.75">
      <c r="A425" t="s">
        <v>830</v>
      </c>
      <c r="B425">
        <v>5</v>
      </c>
      <c r="C425">
        <v>2024</v>
      </c>
      <c r="D425" s="54">
        <v>45414</v>
      </c>
      <c r="E425" s="42" t="s">
        <v>249</v>
      </c>
      <c r="F425" s="76" t="s">
        <v>53</v>
      </c>
      <c r="G425" s="52">
        <v>-7.12</v>
      </c>
      <c r="H425" s="32" t="s">
        <v>831</v>
      </c>
    </row>
    <row r="426" spans="1:8" ht="18.75">
      <c r="A426" t="s">
        <v>832</v>
      </c>
      <c r="B426">
        <v>5</v>
      </c>
      <c r="C426">
        <v>2024</v>
      </c>
      <c r="D426" s="54">
        <v>45414</v>
      </c>
      <c r="E426" s="42" t="s">
        <v>249</v>
      </c>
      <c r="F426" s="76" t="s">
        <v>59</v>
      </c>
      <c r="G426" s="52">
        <v>-18.079999999999998</v>
      </c>
      <c r="H426" s="32" t="s">
        <v>288</v>
      </c>
    </row>
    <row r="427" spans="1:8" ht="18.75">
      <c r="A427" t="s">
        <v>833</v>
      </c>
      <c r="B427">
        <v>5</v>
      </c>
      <c r="C427">
        <v>2024</v>
      </c>
      <c r="D427" s="54">
        <v>45415</v>
      </c>
      <c r="E427" s="42" t="s">
        <v>160</v>
      </c>
      <c r="F427" s="76" t="s">
        <v>33</v>
      </c>
      <c r="G427" s="52">
        <v>-443.25</v>
      </c>
      <c r="H427" s="32" t="s">
        <v>169</v>
      </c>
    </row>
    <row r="428" spans="1:8" ht="18.75">
      <c r="A428" t="s">
        <v>834</v>
      </c>
      <c r="B428">
        <v>5</v>
      </c>
      <c r="C428">
        <v>2024</v>
      </c>
      <c r="D428" s="54">
        <v>45415</v>
      </c>
      <c r="E428" s="42" t="s">
        <v>160</v>
      </c>
      <c r="F428" s="76" t="s">
        <v>79</v>
      </c>
      <c r="G428" s="52">
        <v>2046.79</v>
      </c>
      <c r="H428" s="32" t="s">
        <v>171</v>
      </c>
    </row>
    <row r="429" spans="1:8" ht="18.75">
      <c r="A429" t="s">
        <v>835</v>
      </c>
      <c r="B429">
        <v>5</v>
      </c>
      <c r="C429">
        <v>2024</v>
      </c>
      <c r="D429" s="54">
        <v>45416</v>
      </c>
      <c r="E429" s="42" t="s">
        <v>249</v>
      </c>
      <c r="F429" s="76" t="s">
        <v>54</v>
      </c>
      <c r="G429" s="52">
        <v>-4.93</v>
      </c>
      <c r="H429" s="32" t="s">
        <v>836</v>
      </c>
    </row>
    <row r="430" spans="1:8" ht="18.75">
      <c r="A430" t="s">
        <v>837</v>
      </c>
      <c r="B430">
        <v>5</v>
      </c>
      <c r="C430">
        <v>2024</v>
      </c>
      <c r="D430" s="54">
        <v>45416</v>
      </c>
      <c r="E430" s="42" t="s">
        <v>249</v>
      </c>
      <c r="F430" s="76" t="s">
        <v>59</v>
      </c>
      <c r="G430" s="52">
        <v>-33.4</v>
      </c>
      <c r="H430" s="32" t="s">
        <v>838</v>
      </c>
    </row>
    <row r="431" spans="1:8" ht="18.75">
      <c r="A431" t="s">
        <v>839</v>
      </c>
      <c r="B431">
        <v>5</v>
      </c>
      <c r="C431">
        <v>2024</v>
      </c>
      <c r="D431" s="54">
        <v>45417</v>
      </c>
      <c r="E431" s="42" t="s">
        <v>249</v>
      </c>
      <c r="F431" s="76" t="s">
        <v>57</v>
      </c>
      <c r="G431" s="52">
        <v>-166.22</v>
      </c>
      <c r="H431" s="32" t="s">
        <v>840</v>
      </c>
    </row>
    <row r="432" spans="1:8" ht="18.75">
      <c r="A432" t="s">
        <v>841</v>
      </c>
      <c r="B432">
        <v>5</v>
      </c>
      <c r="C432">
        <v>2024</v>
      </c>
      <c r="D432" s="54">
        <v>45417</v>
      </c>
      <c r="E432" s="42" t="s">
        <v>249</v>
      </c>
      <c r="F432" s="76" t="s">
        <v>54</v>
      </c>
      <c r="G432" s="52">
        <v>-8.7200000000000006</v>
      </c>
      <c r="H432" s="32" t="s">
        <v>842</v>
      </c>
    </row>
    <row r="433" spans="1:8" ht="18.75">
      <c r="A433" t="s">
        <v>843</v>
      </c>
      <c r="B433">
        <v>5</v>
      </c>
      <c r="C433">
        <v>2024</v>
      </c>
      <c r="D433" s="54">
        <v>45417</v>
      </c>
      <c r="E433" s="42" t="s">
        <v>249</v>
      </c>
      <c r="F433" s="76" t="s">
        <v>59</v>
      </c>
      <c r="G433" s="52">
        <v>-1.83</v>
      </c>
      <c r="H433" s="32" t="s">
        <v>840</v>
      </c>
    </row>
    <row r="434" spans="1:8" ht="18.75">
      <c r="A434" t="s">
        <v>844</v>
      </c>
      <c r="B434">
        <v>5</v>
      </c>
      <c r="C434">
        <v>2024</v>
      </c>
      <c r="D434" s="54">
        <v>45417</v>
      </c>
      <c r="E434" s="42" t="s">
        <v>249</v>
      </c>
      <c r="F434" s="76" t="s">
        <v>59</v>
      </c>
      <c r="G434" s="52">
        <v>-38.04</v>
      </c>
      <c r="H434" s="32" t="s">
        <v>845</v>
      </c>
    </row>
    <row r="435" spans="1:8" ht="18.75">
      <c r="A435" t="s">
        <v>846</v>
      </c>
      <c r="B435">
        <v>5</v>
      </c>
      <c r="C435">
        <v>2024</v>
      </c>
      <c r="D435" s="54">
        <v>45418</v>
      </c>
      <c r="E435" s="42" t="s">
        <v>160</v>
      </c>
      <c r="F435" s="76" t="s">
        <v>53</v>
      </c>
      <c r="G435" s="52">
        <v>-950</v>
      </c>
      <c r="H435" s="32" t="s">
        <v>334</v>
      </c>
    </row>
    <row r="436" spans="1:8" ht="18.75">
      <c r="A436" s="77" t="s">
        <v>847</v>
      </c>
      <c r="B436">
        <v>5</v>
      </c>
      <c r="C436">
        <v>2024</v>
      </c>
      <c r="D436" s="54">
        <v>45418</v>
      </c>
      <c r="E436" s="42" t="s">
        <v>160</v>
      </c>
      <c r="F436" s="76" t="s">
        <v>30</v>
      </c>
      <c r="G436" s="52">
        <v>-214.82</v>
      </c>
      <c r="H436" s="32" t="s">
        <v>196</v>
      </c>
    </row>
    <row r="437" spans="1:8" ht="18.75">
      <c r="A437" t="s">
        <v>848</v>
      </c>
      <c r="B437">
        <v>5</v>
      </c>
      <c r="C437">
        <v>2024</v>
      </c>
      <c r="D437" s="54">
        <v>45418</v>
      </c>
      <c r="E437" s="42" t="s">
        <v>249</v>
      </c>
      <c r="F437" s="76" t="s">
        <v>54</v>
      </c>
      <c r="G437" s="52">
        <v>-6.27</v>
      </c>
      <c r="H437" s="32" t="s">
        <v>849</v>
      </c>
    </row>
    <row r="438" spans="1:8" ht="18.75">
      <c r="A438" t="s">
        <v>850</v>
      </c>
      <c r="B438">
        <v>5</v>
      </c>
      <c r="C438">
        <v>2024</v>
      </c>
      <c r="D438" s="54">
        <v>45419</v>
      </c>
      <c r="E438" s="42" t="s">
        <v>249</v>
      </c>
      <c r="F438" s="76" t="s">
        <v>42</v>
      </c>
      <c r="G438" s="52">
        <v>-25.98</v>
      </c>
      <c r="H438" s="32" t="s">
        <v>278</v>
      </c>
    </row>
    <row r="439" spans="1:8" ht="18.75">
      <c r="A439" t="s">
        <v>851</v>
      </c>
      <c r="B439">
        <v>5</v>
      </c>
      <c r="C439">
        <v>2024</v>
      </c>
      <c r="D439" s="54">
        <v>45420</v>
      </c>
      <c r="E439" s="42" t="s">
        <v>160</v>
      </c>
      <c r="F439" s="76" t="s">
        <v>51</v>
      </c>
      <c r="G439" s="52">
        <v>-125.87</v>
      </c>
      <c r="H439" s="32" t="s">
        <v>199</v>
      </c>
    </row>
    <row r="440" spans="1:8" ht="18.75">
      <c r="A440" t="s">
        <v>852</v>
      </c>
      <c r="B440">
        <v>5</v>
      </c>
      <c r="C440">
        <v>2024</v>
      </c>
      <c r="D440" s="54">
        <v>45420</v>
      </c>
      <c r="E440" s="42" t="s">
        <v>249</v>
      </c>
      <c r="F440" s="76" t="s">
        <v>59</v>
      </c>
      <c r="G440" s="52">
        <v>-3.99</v>
      </c>
      <c r="H440" s="32" t="s">
        <v>853</v>
      </c>
    </row>
    <row r="441" spans="1:8" ht="18.75">
      <c r="A441" s="77" t="s">
        <v>854</v>
      </c>
      <c r="B441">
        <v>5</v>
      </c>
      <c r="C441">
        <v>2024</v>
      </c>
      <c r="D441" s="54">
        <v>45421</v>
      </c>
      <c r="E441" s="42" t="s">
        <v>249</v>
      </c>
      <c r="F441" s="76" t="s">
        <v>35</v>
      </c>
      <c r="G441" s="52">
        <v>-84.75</v>
      </c>
      <c r="H441" s="32" t="s">
        <v>285</v>
      </c>
    </row>
    <row r="442" spans="1:8" ht="18.75">
      <c r="A442" s="77" t="s">
        <v>855</v>
      </c>
      <c r="B442">
        <v>5</v>
      </c>
      <c r="C442">
        <v>2024</v>
      </c>
      <c r="D442" s="54">
        <v>45421</v>
      </c>
      <c r="E442" s="42" t="s">
        <v>160</v>
      </c>
      <c r="F442" s="76" t="s">
        <v>79</v>
      </c>
      <c r="G442" s="52">
        <v>1282.33</v>
      </c>
      <c r="H442" s="32" t="s">
        <v>190</v>
      </c>
    </row>
    <row r="443" spans="1:8" ht="18.75">
      <c r="A443" t="s">
        <v>856</v>
      </c>
      <c r="B443">
        <v>5</v>
      </c>
      <c r="C443">
        <v>2024</v>
      </c>
      <c r="D443" s="54">
        <v>45421</v>
      </c>
      <c r="E443" s="42" t="s">
        <v>249</v>
      </c>
      <c r="F443" s="76" t="s">
        <v>59</v>
      </c>
      <c r="G443" s="52">
        <v>-2.58</v>
      </c>
      <c r="H443" s="32" t="s">
        <v>857</v>
      </c>
    </row>
    <row r="444" spans="1:8" ht="18.75">
      <c r="A444" t="s">
        <v>858</v>
      </c>
      <c r="B444">
        <v>5</v>
      </c>
      <c r="C444">
        <v>2024</v>
      </c>
      <c r="D444" s="54">
        <v>45422</v>
      </c>
      <c r="E444" s="42" t="s">
        <v>249</v>
      </c>
      <c r="F444" s="76" t="s">
        <v>59</v>
      </c>
      <c r="G444" s="52">
        <v>-70</v>
      </c>
      <c r="H444" s="32" t="s">
        <v>859</v>
      </c>
    </row>
    <row r="445" spans="1:8" ht="18.75">
      <c r="A445" t="s">
        <v>860</v>
      </c>
      <c r="B445">
        <v>5</v>
      </c>
      <c r="C445">
        <v>2024</v>
      </c>
      <c r="D445" s="54">
        <v>45422</v>
      </c>
      <c r="E445" s="42" t="s">
        <v>249</v>
      </c>
      <c r="F445" s="76" t="s">
        <v>59</v>
      </c>
      <c r="G445" s="52">
        <v>-26.63</v>
      </c>
      <c r="H445" s="32" t="s">
        <v>861</v>
      </c>
    </row>
    <row r="446" spans="1:8" ht="18.75">
      <c r="A446" t="s">
        <v>862</v>
      </c>
      <c r="B446">
        <v>5</v>
      </c>
      <c r="C446">
        <v>2024</v>
      </c>
      <c r="D446" s="54">
        <v>45423</v>
      </c>
      <c r="E446" s="42" t="s">
        <v>249</v>
      </c>
      <c r="F446" s="76" t="s">
        <v>47</v>
      </c>
      <c r="G446" s="52">
        <v>-69.17</v>
      </c>
      <c r="H446" s="32" t="s">
        <v>863</v>
      </c>
    </row>
    <row r="447" spans="1:8" ht="18.75">
      <c r="A447" t="s">
        <v>864</v>
      </c>
      <c r="B447">
        <v>5</v>
      </c>
      <c r="C447">
        <v>2024</v>
      </c>
      <c r="D447" s="54">
        <v>45423</v>
      </c>
      <c r="E447" s="42" t="s">
        <v>249</v>
      </c>
      <c r="F447" s="76" t="s">
        <v>59</v>
      </c>
      <c r="G447" s="52">
        <v>-11</v>
      </c>
      <c r="H447" s="32" t="s">
        <v>853</v>
      </c>
    </row>
    <row r="448" spans="1:8" ht="18.75">
      <c r="A448" t="s">
        <v>865</v>
      </c>
      <c r="B448">
        <v>5</v>
      </c>
      <c r="C448">
        <v>2024</v>
      </c>
      <c r="D448" s="54">
        <v>45423</v>
      </c>
      <c r="E448" s="42" t="s">
        <v>249</v>
      </c>
      <c r="F448" s="76" t="s">
        <v>59</v>
      </c>
      <c r="G448" s="52">
        <v>-53.09</v>
      </c>
      <c r="H448" s="32" t="s">
        <v>866</v>
      </c>
    </row>
    <row r="449" spans="1:9" ht="18.75">
      <c r="A449" t="s">
        <v>867</v>
      </c>
      <c r="B449">
        <v>5</v>
      </c>
      <c r="C449">
        <v>2024</v>
      </c>
      <c r="D449" s="54">
        <v>45423</v>
      </c>
      <c r="E449" s="42" t="s">
        <v>249</v>
      </c>
      <c r="F449" s="76" t="s">
        <v>59</v>
      </c>
      <c r="G449" s="52">
        <v>-71.42</v>
      </c>
      <c r="H449" s="32" t="s">
        <v>868</v>
      </c>
    </row>
    <row r="450" spans="1:9" ht="18.75">
      <c r="A450" t="s">
        <v>869</v>
      </c>
      <c r="B450">
        <v>5</v>
      </c>
      <c r="C450">
        <v>2024</v>
      </c>
      <c r="D450" s="54">
        <v>45423</v>
      </c>
      <c r="E450" s="42" t="s">
        <v>249</v>
      </c>
      <c r="F450" s="76" t="s">
        <v>59</v>
      </c>
      <c r="G450" s="52">
        <v>-22</v>
      </c>
      <c r="H450" s="32" t="s">
        <v>870</v>
      </c>
    </row>
    <row r="451" spans="1:9" ht="18.75">
      <c r="A451" t="s">
        <v>871</v>
      </c>
      <c r="B451">
        <v>5</v>
      </c>
      <c r="C451">
        <v>2024</v>
      </c>
      <c r="D451" s="54">
        <v>45423</v>
      </c>
      <c r="E451" s="42" t="s">
        <v>249</v>
      </c>
      <c r="F451" s="76" t="s">
        <v>59</v>
      </c>
      <c r="G451" s="52">
        <v>-51.58</v>
      </c>
      <c r="H451" s="32" t="s">
        <v>872</v>
      </c>
    </row>
    <row r="452" spans="1:9" ht="18.75">
      <c r="A452" t="s">
        <v>873</v>
      </c>
      <c r="B452">
        <v>5</v>
      </c>
      <c r="C452">
        <v>2024</v>
      </c>
      <c r="D452" s="54">
        <v>45423</v>
      </c>
      <c r="E452" s="42" t="s">
        <v>249</v>
      </c>
      <c r="F452" s="76" t="s">
        <v>50</v>
      </c>
      <c r="G452" s="52">
        <v>-173.72</v>
      </c>
      <c r="H452" s="32" t="s">
        <v>874</v>
      </c>
    </row>
    <row r="453" spans="1:9" ht="18.75">
      <c r="A453" t="s">
        <v>875</v>
      </c>
      <c r="B453">
        <v>5</v>
      </c>
      <c r="C453">
        <v>2024</v>
      </c>
      <c r="D453" s="54">
        <v>45424</v>
      </c>
      <c r="E453" s="42" t="s">
        <v>249</v>
      </c>
      <c r="F453" s="76" t="s">
        <v>57</v>
      </c>
      <c r="G453" s="52">
        <v>-148.74</v>
      </c>
      <c r="H453" s="32" t="s">
        <v>845</v>
      </c>
    </row>
    <row r="454" spans="1:9" ht="18.75">
      <c r="A454" t="s">
        <v>876</v>
      </c>
      <c r="B454">
        <v>5</v>
      </c>
      <c r="C454">
        <v>2024</v>
      </c>
      <c r="D454" s="54">
        <v>45424</v>
      </c>
      <c r="E454" s="42" t="s">
        <v>249</v>
      </c>
      <c r="F454" s="76" t="s">
        <v>54</v>
      </c>
      <c r="G454" s="52">
        <v>-2.86</v>
      </c>
      <c r="H454" s="32" t="s">
        <v>877</v>
      </c>
    </row>
    <row r="455" spans="1:9" ht="18.75">
      <c r="A455" t="s">
        <v>878</v>
      </c>
      <c r="B455">
        <v>5</v>
      </c>
      <c r="C455">
        <v>2024</v>
      </c>
      <c r="D455" s="54">
        <v>45424</v>
      </c>
      <c r="E455" s="42" t="s">
        <v>249</v>
      </c>
      <c r="F455" s="76" t="s">
        <v>59</v>
      </c>
      <c r="G455" s="52">
        <v>-12.99</v>
      </c>
      <c r="H455" s="32" t="s">
        <v>861</v>
      </c>
    </row>
    <row r="456" spans="1:9" ht="18.75">
      <c r="A456" t="s">
        <v>879</v>
      </c>
      <c r="B456">
        <v>5</v>
      </c>
      <c r="C456">
        <v>2024</v>
      </c>
      <c r="D456" s="54">
        <v>45424</v>
      </c>
      <c r="E456" s="42" t="s">
        <v>249</v>
      </c>
      <c r="F456" s="76" t="s">
        <v>59</v>
      </c>
      <c r="G456" s="52">
        <v>-14.08</v>
      </c>
      <c r="H456" s="32" t="s">
        <v>880</v>
      </c>
    </row>
    <row r="457" spans="1:9" ht="18.75">
      <c r="A457" t="s">
        <v>881</v>
      </c>
      <c r="B457">
        <v>5</v>
      </c>
      <c r="C457">
        <v>2024</v>
      </c>
      <c r="D457" s="54">
        <v>45439</v>
      </c>
      <c r="E457" s="42" t="s">
        <v>160</v>
      </c>
      <c r="F457" s="76" t="s">
        <v>49</v>
      </c>
      <c r="G457" s="52">
        <v>-50</v>
      </c>
      <c r="H457" s="32" t="s">
        <v>161</v>
      </c>
    </row>
    <row r="458" spans="1:9" ht="18.75">
      <c r="A458" t="s">
        <v>882</v>
      </c>
      <c r="B458">
        <v>5</v>
      </c>
      <c r="C458">
        <v>2024</v>
      </c>
      <c r="D458" s="54">
        <v>45425</v>
      </c>
      <c r="E458" s="42" t="s">
        <v>160</v>
      </c>
      <c r="F458" s="76" t="s">
        <v>79</v>
      </c>
      <c r="G458" s="52">
        <v>-200</v>
      </c>
      <c r="H458" s="32" t="s">
        <v>334</v>
      </c>
    </row>
    <row r="459" spans="1:9" ht="18.75">
      <c r="A459" t="s">
        <v>883</v>
      </c>
      <c r="B459">
        <v>5</v>
      </c>
      <c r="C459">
        <v>2024</v>
      </c>
      <c r="D459" s="54">
        <v>45425</v>
      </c>
      <c r="E459" s="42" t="s">
        <v>160</v>
      </c>
      <c r="F459" s="76" t="s">
        <v>79</v>
      </c>
      <c r="G459" s="52">
        <v>200</v>
      </c>
      <c r="H459" s="32" t="s">
        <v>884</v>
      </c>
    </row>
    <row r="460" spans="1:9" ht="18.75">
      <c r="A460" t="s">
        <v>885</v>
      </c>
      <c r="B460">
        <v>5</v>
      </c>
      <c r="C460">
        <v>2024</v>
      </c>
      <c r="D460" s="54">
        <v>45425</v>
      </c>
      <c r="E460" s="42" t="s">
        <v>146</v>
      </c>
      <c r="F460" s="76" t="s">
        <v>47</v>
      </c>
      <c r="G460" s="52">
        <v>-200</v>
      </c>
      <c r="H460" s="32" t="s">
        <v>886</v>
      </c>
      <c r="I460" s="32" t="s">
        <v>887</v>
      </c>
    </row>
    <row r="461" spans="1:9" ht="18.75">
      <c r="A461" t="s">
        <v>888</v>
      </c>
      <c r="B461">
        <v>5</v>
      </c>
      <c r="C461">
        <v>2024</v>
      </c>
      <c r="D461" s="54">
        <v>45426</v>
      </c>
      <c r="E461" s="42" t="s">
        <v>160</v>
      </c>
      <c r="F461" s="76" t="s">
        <v>36</v>
      </c>
      <c r="G461" s="52">
        <v>-98.97</v>
      </c>
      <c r="H461" s="32" t="s">
        <v>889</v>
      </c>
    </row>
    <row r="462" spans="1:9" ht="18.75">
      <c r="A462" t="s">
        <v>890</v>
      </c>
      <c r="B462">
        <v>5</v>
      </c>
      <c r="C462">
        <v>2024</v>
      </c>
      <c r="D462" s="54">
        <v>45426</v>
      </c>
      <c r="E462" s="42" t="s">
        <v>249</v>
      </c>
      <c r="F462" s="76" t="s">
        <v>53</v>
      </c>
      <c r="G462" s="52">
        <v>-63.23</v>
      </c>
      <c r="H462" s="32" t="s">
        <v>891</v>
      </c>
    </row>
    <row r="463" spans="1:9" ht="18.75">
      <c r="A463" t="s">
        <v>892</v>
      </c>
      <c r="B463">
        <v>5</v>
      </c>
      <c r="C463">
        <v>2024</v>
      </c>
      <c r="D463" s="54">
        <v>45426</v>
      </c>
      <c r="E463" s="42" t="s">
        <v>160</v>
      </c>
      <c r="F463" s="76" t="s">
        <v>43</v>
      </c>
      <c r="G463" s="52">
        <v>-9.0299999999999994</v>
      </c>
      <c r="H463" s="32" t="s">
        <v>163</v>
      </c>
    </row>
    <row r="464" spans="1:9" ht="18.75">
      <c r="A464" t="s">
        <v>893</v>
      </c>
      <c r="B464">
        <v>5</v>
      </c>
      <c r="C464">
        <v>2024</v>
      </c>
      <c r="D464" s="54">
        <v>45427</v>
      </c>
      <c r="E464" s="42" t="s">
        <v>160</v>
      </c>
      <c r="F464" s="76" t="s">
        <v>51</v>
      </c>
      <c r="G464" s="52">
        <v>-125.57</v>
      </c>
      <c r="H464" s="32" t="s">
        <v>210</v>
      </c>
    </row>
    <row r="465" spans="1:8" ht="18.75">
      <c r="A465" t="s">
        <v>894</v>
      </c>
      <c r="B465">
        <v>5</v>
      </c>
      <c r="C465">
        <v>2024</v>
      </c>
      <c r="D465" s="54">
        <v>45427</v>
      </c>
      <c r="E465" s="42" t="s">
        <v>160</v>
      </c>
      <c r="F465" s="76" t="s">
        <v>64</v>
      </c>
      <c r="G465" s="52">
        <v>-280</v>
      </c>
      <c r="H465" s="32" t="s">
        <v>208</v>
      </c>
    </row>
    <row r="466" spans="1:8" ht="18.75">
      <c r="A466" t="s">
        <v>895</v>
      </c>
      <c r="B466">
        <v>5</v>
      </c>
      <c r="C466">
        <v>2024</v>
      </c>
      <c r="D466" s="54">
        <v>45428</v>
      </c>
      <c r="E466" s="42" t="s">
        <v>249</v>
      </c>
      <c r="F466" s="76" t="s">
        <v>39</v>
      </c>
      <c r="G466" s="52">
        <v>-100.1</v>
      </c>
      <c r="H466" s="32" t="s">
        <v>304</v>
      </c>
    </row>
    <row r="467" spans="1:8" ht="18.75">
      <c r="A467" t="s">
        <v>896</v>
      </c>
      <c r="B467">
        <v>5</v>
      </c>
      <c r="C467">
        <v>2024</v>
      </c>
      <c r="D467" s="54">
        <v>45428</v>
      </c>
      <c r="E467" s="42" t="s">
        <v>160</v>
      </c>
      <c r="F467" s="76" t="s">
        <v>60</v>
      </c>
      <c r="G467" s="52">
        <v>-98.38</v>
      </c>
      <c r="H467" s="32" t="s">
        <v>212</v>
      </c>
    </row>
    <row r="468" spans="1:8" ht="18.75">
      <c r="A468" t="s">
        <v>897</v>
      </c>
      <c r="B468">
        <v>5</v>
      </c>
      <c r="C468">
        <v>2024</v>
      </c>
      <c r="D468" s="54">
        <v>45429</v>
      </c>
      <c r="E468" s="42" t="s">
        <v>160</v>
      </c>
      <c r="F468" s="76" t="s">
        <v>33</v>
      </c>
      <c r="G468" s="52">
        <v>-443.25</v>
      </c>
      <c r="H468" s="32" t="s">
        <v>169</v>
      </c>
    </row>
    <row r="469" spans="1:8" ht="18.75">
      <c r="A469" t="s">
        <v>898</v>
      </c>
      <c r="B469">
        <v>5</v>
      </c>
      <c r="C469">
        <v>2024</v>
      </c>
      <c r="D469" s="54">
        <v>45429</v>
      </c>
      <c r="E469" s="42" t="s">
        <v>160</v>
      </c>
      <c r="F469" s="76" t="s">
        <v>79</v>
      </c>
      <c r="G469" s="52">
        <v>2046.79</v>
      </c>
      <c r="H469" s="32" t="s">
        <v>171</v>
      </c>
    </row>
    <row r="470" spans="1:8" ht="18.75">
      <c r="A470" t="s">
        <v>899</v>
      </c>
      <c r="B470">
        <v>5</v>
      </c>
      <c r="C470">
        <v>2024</v>
      </c>
      <c r="D470" s="54">
        <v>45430</v>
      </c>
      <c r="E470" s="42" t="s">
        <v>249</v>
      </c>
      <c r="F470" s="76" t="s">
        <v>57</v>
      </c>
      <c r="G470" s="52">
        <v>-169.72</v>
      </c>
      <c r="H470" s="32" t="s">
        <v>900</v>
      </c>
    </row>
    <row r="471" spans="1:8" ht="18.75">
      <c r="A471" t="s">
        <v>901</v>
      </c>
      <c r="B471">
        <v>5</v>
      </c>
      <c r="C471">
        <v>2024</v>
      </c>
      <c r="D471" s="54">
        <v>45430</v>
      </c>
      <c r="E471" s="42" t="s">
        <v>249</v>
      </c>
      <c r="F471" s="76" t="s">
        <v>54</v>
      </c>
      <c r="G471" s="52">
        <v>-2.88</v>
      </c>
      <c r="H471" s="32" t="s">
        <v>902</v>
      </c>
    </row>
    <row r="472" spans="1:8" ht="18.75">
      <c r="A472" t="s">
        <v>903</v>
      </c>
      <c r="B472">
        <v>5</v>
      </c>
      <c r="C472">
        <v>2024</v>
      </c>
      <c r="D472" s="54">
        <v>45430</v>
      </c>
      <c r="E472" s="42" t="s">
        <v>249</v>
      </c>
      <c r="F472" s="76" t="s">
        <v>59</v>
      </c>
      <c r="G472" s="52">
        <v>-31.05</v>
      </c>
      <c r="H472" s="32" t="s">
        <v>904</v>
      </c>
    </row>
    <row r="473" spans="1:8" ht="18.75">
      <c r="A473" t="s">
        <v>905</v>
      </c>
      <c r="B473">
        <v>5</v>
      </c>
      <c r="C473">
        <v>2024</v>
      </c>
      <c r="D473" s="54">
        <v>45430</v>
      </c>
      <c r="E473" s="42" t="s">
        <v>249</v>
      </c>
      <c r="F473" s="76" t="s">
        <v>59</v>
      </c>
      <c r="G473" s="52">
        <v>-47.54</v>
      </c>
      <c r="H473" s="32" t="s">
        <v>906</v>
      </c>
    </row>
    <row r="474" spans="1:8" ht="18.75">
      <c r="A474" t="s">
        <v>907</v>
      </c>
      <c r="B474">
        <v>5</v>
      </c>
      <c r="C474">
        <v>2024</v>
      </c>
      <c r="D474" s="54">
        <v>45430</v>
      </c>
      <c r="E474" s="42" t="s">
        <v>249</v>
      </c>
      <c r="F474" s="76" t="s">
        <v>59</v>
      </c>
      <c r="G474" s="52">
        <v>-10</v>
      </c>
      <c r="H474" s="32" t="s">
        <v>908</v>
      </c>
    </row>
    <row r="475" spans="1:8" ht="18.75">
      <c r="A475" t="s">
        <v>909</v>
      </c>
      <c r="B475">
        <v>5</v>
      </c>
      <c r="C475">
        <v>2024</v>
      </c>
      <c r="D475" s="54">
        <v>45430</v>
      </c>
      <c r="E475" s="42" t="s">
        <v>249</v>
      </c>
      <c r="F475" s="76" t="s">
        <v>59</v>
      </c>
      <c r="G475" s="52">
        <v>-34.96</v>
      </c>
      <c r="H475" s="32" t="s">
        <v>908</v>
      </c>
    </row>
    <row r="476" spans="1:8" ht="18.75">
      <c r="A476" t="s">
        <v>910</v>
      </c>
      <c r="B476">
        <v>5</v>
      </c>
      <c r="C476">
        <v>2024</v>
      </c>
      <c r="D476" s="54">
        <v>45432</v>
      </c>
      <c r="E476" s="42" t="s">
        <v>249</v>
      </c>
      <c r="F476" s="76" t="s">
        <v>59</v>
      </c>
      <c r="G476" s="52">
        <v>-18.010000000000002</v>
      </c>
      <c r="H476" s="32" t="s">
        <v>911</v>
      </c>
    </row>
    <row r="477" spans="1:8" ht="18.75">
      <c r="A477" t="s">
        <v>912</v>
      </c>
      <c r="B477">
        <v>5</v>
      </c>
      <c r="C477">
        <v>2024</v>
      </c>
      <c r="D477" s="54">
        <v>45432</v>
      </c>
      <c r="E477" s="42" t="s">
        <v>249</v>
      </c>
      <c r="F477" s="76" t="s">
        <v>59</v>
      </c>
      <c r="G477" s="52">
        <v>-50.13</v>
      </c>
      <c r="H477" s="32" t="s">
        <v>913</v>
      </c>
    </row>
    <row r="478" spans="1:8" ht="18.75">
      <c r="A478" t="s">
        <v>914</v>
      </c>
      <c r="B478">
        <v>5</v>
      </c>
      <c r="C478">
        <v>2024</v>
      </c>
      <c r="D478" s="54">
        <v>45432</v>
      </c>
      <c r="E478" s="42" t="s">
        <v>249</v>
      </c>
      <c r="F478" s="76" t="s">
        <v>59</v>
      </c>
      <c r="G478" s="52">
        <v>-12.06</v>
      </c>
      <c r="H478" s="32" t="s">
        <v>915</v>
      </c>
    </row>
    <row r="479" spans="1:8" ht="18.75">
      <c r="A479" t="s">
        <v>916</v>
      </c>
      <c r="B479">
        <v>5</v>
      </c>
      <c r="C479">
        <v>2024</v>
      </c>
      <c r="D479" s="54">
        <v>45433</v>
      </c>
      <c r="E479" s="42" t="s">
        <v>249</v>
      </c>
      <c r="F479" s="76" t="s">
        <v>59</v>
      </c>
      <c r="G479" s="52">
        <v>-20.21</v>
      </c>
      <c r="H479" s="32" t="s">
        <v>917</v>
      </c>
    </row>
    <row r="480" spans="1:8" ht="18.75">
      <c r="A480" t="s">
        <v>918</v>
      </c>
      <c r="B480">
        <v>5</v>
      </c>
      <c r="C480">
        <v>2024</v>
      </c>
      <c r="D480" s="54">
        <v>45434</v>
      </c>
      <c r="E480" s="42" t="s">
        <v>126</v>
      </c>
      <c r="F480" s="76" t="s">
        <v>48</v>
      </c>
      <c r="G480" s="52">
        <v>0</v>
      </c>
      <c r="H480" s="32" t="s">
        <v>919</v>
      </c>
    </row>
    <row r="481" spans="1:8" ht="18.75">
      <c r="A481" t="s">
        <v>920</v>
      </c>
      <c r="B481">
        <v>5</v>
      </c>
      <c r="C481">
        <v>2024</v>
      </c>
      <c r="D481" s="54">
        <v>45434</v>
      </c>
      <c r="E481" s="42" t="s">
        <v>160</v>
      </c>
      <c r="F481" s="76" t="s">
        <v>48</v>
      </c>
      <c r="G481" s="52">
        <v>-8.34</v>
      </c>
      <c r="H481" s="32" t="s">
        <v>220</v>
      </c>
    </row>
    <row r="482" spans="1:8" ht="18.75">
      <c r="A482" t="s">
        <v>921</v>
      </c>
      <c r="B482">
        <v>5</v>
      </c>
      <c r="C482">
        <v>2024</v>
      </c>
      <c r="D482" s="54">
        <v>45434</v>
      </c>
      <c r="E482" s="42" t="s">
        <v>126</v>
      </c>
      <c r="F482" s="76" t="s">
        <v>48</v>
      </c>
      <c r="G482" s="52">
        <v>0</v>
      </c>
      <c r="H482" s="32" t="s">
        <v>922</v>
      </c>
    </row>
    <row r="483" spans="1:8" ht="18.75">
      <c r="A483" t="s">
        <v>923</v>
      </c>
      <c r="B483">
        <v>5</v>
      </c>
      <c r="C483">
        <v>2024</v>
      </c>
      <c r="D483" s="54">
        <v>45434</v>
      </c>
      <c r="E483" s="42" t="s">
        <v>160</v>
      </c>
      <c r="F483" s="76" t="s">
        <v>63</v>
      </c>
      <c r="G483" s="52">
        <v>-91.2</v>
      </c>
      <c r="H483" s="32" t="s">
        <v>224</v>
      </c>
    </row>
    <row r="484" spans="1:8" ht="18.75">
      <c r="A484" t="s">
        <v>924</v>
      </c>
      <c r="B484">
        <v>5</v>
      </c>
      <c r="C484">
        <v>2024</v>
      </c>
      <c r="D484" s="54">
        <v>45434</v>
      </c>
      <c r="E484" s="42" t="s">
        <v>249</v>
      </c>
      <c r="F484" s="76" t="s">
        <v>59</v>
      </c>
      <c r="G484" s="52">
        <v>-18.399999999999999</v>
      </c>
      <c r="H484" s="32" t="s">
        <v>925</v>
      </c>
    </row>
    <row r="485" spans="1:8" ht="18.75">
      <c r="A485" t="s">
        <v>926</v>
      </c>
      <c r="B485">
        <v>5</v>
      </c>
      <c r="C485">
        <v>2024</v>
      </c>
      <c r="D485" s="54">
        <v>45435</v>
      </c>
      <c r="E485" s="42" t="s">
        <v>160</v>
      </c>
      <c r="F485" s="76" t="s">
        <v>79</v>
      </c>
      <c r="G485" s="52">
        <v>1282.33</v>
      </c>
      <c r="H485" s="32" t="s">
        <v>190</v>
      </c>
    </row>
    <row r="486" spans="1:8" ht="18.75">
      <c r="A486" t="s">
        <v>927</v>
      </c>
      <c r="B486">
        <v>5</v>
      </c>
      <c r="C486">
        <v>2024</v>
      </c>
      <c r="D486" s="54">
        <v>45435</v>
      </c>
      <c r="E486" s="42" t="s">
        <v>249</v>
      </c>
      <c r="F486" s="76" t="s">
        <v>59</v>
      </c>
      <c r="G486" s="52">
        <v>-45.95</v>
      </c>
      <c r="H486" s="32" t="s">
        <v>928</v>
      </c>
    </row>
    <row r="487" spans="1:8" ht="18.75">
      <c r="A487" t="s">
        <v>929</v>
      </c>
      <c r="B487">
        <v>5</v>
      </c>
      <c r="C487">
        <v>2024</v>
      </c>
      <c r="D487" s="54">
        <v>45436</v>
      </c>
      <c r="E487" s="42" t="s">
        <v>160</v>
      </c>
      <c r="F487" s="76" t="s">
        <v>48</v>
      </c>
      <c r="G487" s="52">
        <v>-4</v>
      </c>
      <c r="H487" s="32" t="s">
        <v>228</v>
      </c>
    </row>
    <row r="488" spans="1:8" ht="18.75">
      <c r="A488" t="s">
        <v>930</v>
      </c>
      <c r="B488">
        <v>5</v>
      </c>
      <c r="C488">
        <v>2024</v>
      </c>
      <c r="D488" s="54">
        <v>45436</v>
      </c>
      <c r="E488" s="42" t="s">
        <v>160</v>
      </c>
      <c r="F488" s="76" t="s">
        <v>48</v>
      </c>
      <c r="G488" s="52">
        <v>-7.5</v>
      </c>
      <c r="H488" s="32" t="s">
        <v>557</v>
      </c>
    </row>
    <row r="489" spans="1:8" ht="18.75">
      <c r="A489" t="s">
        <v>931</v>
      </c>
      <c r="B489">
        <v>5</v>
      </c>
      <c r="C489">
        <v>2024</v>
      </c>
      <c r="D489" s="54">
        <v>45436</v>
      </c>
      <c r="E489" s="42" t="s">
        <v>160</v>
      </c>
      <c r="F489" s="76" t="s">
        <v>29</v>
      </c>
      <c r="G489" s="52">
        <v>-225.75</v>
      </c>
      <c r="H489" s="32" t="s">
        <v>167</v>
      </c>
    </row>
    <row r="490" spans="1:8" ht="18.75">
      <c r="A490" t="s">
        <v>932</v>
      </c>
      <c r="B490">
        <v>5</v>
      </c>
      <c r="C490">
        <v>2024</v>
      </c>
      <c r="D490" s="54">
        <v>45437</v>
      </c>
      <c r="E490" s="42" t="s">
        <v>249</v>
      </c>
      <c r="F490" s="76" t="s">
        <v>57</v>
      </c>
      <c r="G490" s="52">
        <v>-154.96</v>
      </c>
      <c r="H490" s="32" t="s">
        <v>933</v>
      </c>
    </row>
    <row r="491" spans="1:8" ht="18.75">
      <c r="A491" t="s">
        <v>934</v>
      </c>
      <c r="B491">
        <v>5</v>
      </c>
      <c r="C491">
        <v>2024</v>
      </c>
      <c r="D491" s="54">
        <v>45437</v>
      </c>
      <c r="E491" s="42" t="s">
        <v>249</v>
      </c>
      <c r="F491" s="76" t="s">
        <v>59</v>
      </c>
      <c r="G491" s="52">
        <v>-19.2</v>
      </c>
      <c r="H491" s="32" t="s">
        <v>935</v>
      </c>
    </row>
    <row r="492" spans="1:8" ht="18.75">
      <c r="A492" t="s">
        <v>936</v>
      </c>
      <c r="B492">
        <v>5</v>
      </c>
      <c r="C492">
        <v>2024</v>
      </c>
      <c r="D492" s="54">
        <v>45437</v>
      </c>
      <c r="E492" s="42" t="s">
        <v>249</v>
      </c>
      <c r="F492" s="76" t="s">
        <v>50</v>
      </c>
      <c r="G492" s="52">
        <v>-19.27</v>
      </c>
      <c r="H492" s="32" t="s">
        <v>937</v>
      </c>
    </row>
    <row r="493" spans="1:8" ht="18.75">
      <c r="A493" t="s">
        <v>938</v>
      </c>
      <c r="B493">
        <v>5</v>
      </c>
      <c r="C493">
        <v>2024</v>
      </c>
      <c r="D493" s="54">
        <v>45438</v>
      </c>
      <c r="E493" s="42" t="s">
        <v>249</v>
      </c>
      <c r="F493" s="76" t="s">
        <v>53</v>
      </c>
      <c r="G493" s="52">
        <v>-192.1</v>
      </c>
      <c r="H493" s="32" t="s">
        <v>707</v>
      </c>
    </row>
    <row r="494" spans="1:8" ht="18.75">
      <c r="A494" t="s">
        <v>939</v>
      </c>
      <c r="B494">
        <v>5</v>
      </c>
      <c r="C494">
        <v>2024</v>
      </c>
      <c r="D494" s="54">
        <v>45438</v>
      </c>
      <c r="E494" s="42" t="s">
        <v>249</v>
      </c>
      <c r="F494" s="76" t="s">
        <v>59</v>
      </c>
      <c r="G494" s="52">
        <v>-49.85</v>
      </c>
      <c r="H494" s="32" t="s">
        <v>940</v>
      </c>
    </row>
    <row r="495" spans="1:8" ht="18.75">
      <c r="A495" t="s">
        <v>941</v>
      </c>
      <c r="B495">
        <v>5</v>
      </c>
      <c r="C495">
        <v>2024</v>
      </c>
      <c r="D495" s="54">
        <v>45438</v>
      </c>
      <c r="E495" s="42" t="s">
        <v>249</v>
      </c>
      <c r="F495" s="76" t="s">
        <v>50</v>
      </c>
      <c r="G495" s="52">
        <v>-29.59</v>
      </c>
      <c r="H495" s="32" t="s">
        <v>937</v>
      </c>
    </row>
    <row r="496" spans="1:8" ht="19.5" thickBot="1">
      <c r="A496" t="s">
        <v>942</v>
      </c>
      <c r="B496">
        <v>6</v>
      </c>
      <c r="C496">
        <v>2024</v>
      </c>
      <c r="D496" s="54">
        <v>45446</v>
      </c>
      <c r="E496" s="42" t="s">
        <v>160</v>
      </c>
      <c r="F496" s="76" t="s">
        <v>49</v>
      </c>
      <c r="G496" s="52">
        <v>-50</v>
      </c>
      <c r="H496" s="32" t="s">
        <v>173</v>
      </c>
    </row>
    <row r="497" spans="1:9" ht="18.75">
      <c r="A497" t="s">
        <v>943</v>
      </c>
      <c r="B497">
        <v>5</v>
      </c>
      <c r="C497">
        <v>2024</v>
      </c>
      <c r="D497" s="54">
        <v>45439</v>
      </c>
      <c r="E497" s="42" t="s">
        <v>160</v>
      </c>
      <c r="F497" s="76" t="s">
        <v>79</v>
      </c>
      <c r="G497" s="52">
        <v>-1000</v>
      </c>
      <c r="H497" s="32" t="s">
        <v>201</v>
      </c>
    </row>
    <row r="498" spans="1:9" ht="18.75">
      <c r="A498" t="s">
        <v>944</v>
      </c>
      <c r="B498">
        <v>5</v>
      </c>
      <c r="C498">
        <v>2024</v>
      </c>
      <c r="D498" s="54">
        <v>45439</v>
      </c>
      <c r="E498" s="42" t="s">
        <v>146</v>
      </c>
      <c r="F498" s="76" t="s">
        <v>79</v>
      </c>
      <c r="G498" s="52">
        <v>1000</v>
      </c>
      <c r="H498" s="32" t="s">
        <v>945</v>
      </c>
    </row>
    <row r="499" spans="1:9" ht="18.75">
      <c r="A499" t="s">
        <v>946</v>
      </c>
      <c r="B499">
        <v>5</v>
      </c>
      <c r="C499">
        <v>2024</v>
      </c>
      <c r="D499" s="54">
        <v>45439</v>
      </c>
      <c r="E499" s="42" t="s">
        <v>160</v>
      </c>
      <c r="F499" s="76" t="s">
        <v>79</v>
      </c>
      <c r="G499" s="52">
        <v>1000</v>
      </c>
      <c r="H499" s="32" t="s">
        <v>947</v>
      </c>
    </row>
    <row r="500" spans="1:9" ht="18.75">
      <c r="A500" t="s">
        <v>948</v>
      </c>
      <c r="B500">
        <v>5</v>
      </c>
      <c r="C500">
        <v>2024</v>
      </c>
      <c r="D500" s="54">
        <v>45439</v>
      </c>
      <c r="E500" s="42" t="s">
        <v>160</v>
      </c>
      <c r="F500" s="76" t="s">
        <v>79</v>
      </c>
      <c r="G500" s="52">
        <v>-1000</v>
      </c>
      <c r="H500" s="32" t="s">
        <v>949</v>
      </c>
    </row>
    <row r="501" spans="1:9" ht="18.75">
      <c r="A501" t="s">
        <v>950</v>
      </c>
      <c r="B501">
        <v>5</v>
      </c>
      <c r="C501">
        <v>2024</v>
      </c>
      <c r="D501" s="54">
        <v>45439</v>
      </c>
      <c r="E501" s="42" t="s">
        <v>249</v>
      </c>
      <c r="F501" s="76" t="s">
        <v>59</v>
      </c>
      <c r="G501" s="52">
        <v>-3</v>
      </c>
      <c r="H501" s="32" t="s">
        <v>951</v>
      </c>
    </row>
    <row r="502" spans="1:9" ht="18.75">
      <c r="A502" t="s">
        <v>952</v>
      </c>
      <c r="B502">
        <v>5</v>
      </c>
      <c r="C502">
        <v>2024</v>
      </c>
      <c r="D502" s="54">
        <v>45439</v>
      </c>
      <c r="E502" s="42" t="s">
        <v>249</v>
      </c>
      <c r="F502" s="76" t="s">
        <v>59</v>
      </c>
      <c r="G502" s="52">
        <v>-25.55</v>
      </c>
      <c r="H502" s="32" t="s">
        <v>951</v>
      </c>
    </row>
    <row r="503" spans="1:9" ht="18.75">
      <c r="A503" t="s">
        <v>953</v>
      </c>
      <c r="B503">
        <v>5</v>
      </c>
      <c r="C503">
        <v>2024</v>
      </c>
      <c r="D503" s="54">
        <v>45439</v>
      </c>
      <c r="E503" s="42" t="s">
        <v>249</v>
      </c>
      <c r="F503" s="76" t="s">
        <v>59</v>
      </c>
      <c r="G503" s="52">
        <v>-85.07</v>
      </c>
      <c r="H503" s="32" t="s">
        <v>891</v>
      </c>
    </row>
    <row r="504" spans="1:9" ht="18.75">
      <c r="A504" t="s">
        <v>954</v>
      </c>
      <c r="B504">
        <v>5</v>
      </c>
      <c r="C504">
        <v>2024</v>
      </c>
      <c r="D504" s="54">
        <v>45439</v>
      </c>
      <c r="E504" s="42" t="s">
        <v>249</v>
      </c>
      <c r="F504" s="76" t="s">
        <v>59</v>
      </c>
      <c r="G504" s="52">
        <v>-34.5</v>
      </c>
      <c r="H504" s="32" t="s">
        <v>955</v>
      </c>
    </row>
    <row r="505" spans="1:9" ht="18.75">
      <c r="A505" t="s">
        <v>956</v>
      </c>
      <c r="B505">
        <v>5</v>
      </c>
      <c r="C505">
        <v>2024</v>
      </c>
      <c r="D505" s="54">
        <v>45439</v>
      </c>
      <c r="E505" s="42" t="s">
        <v>249</v>
      </c>
      <c r="F505" s="76" t="s">
        <v>59</v>
      </c>
      <c r="G505" s="52">
        <v>-6</v>
      </c>
      <c r="H505" s="32" t="s">
        <v>957</v>
      </c>
    </row>
    <row r="506" spans="1:9" ht="18.75">
      <c r="A506" t="s">
        <v>958</v>
      </c>
      <c r="B506">
        <v>5</v>
      </c>
      <c r="C506">
        <v>2024</v>
      </c>
      <c r="D506" s="54">
        <v>45439</v>
      </c>
      <c r="E506" s="42" t="s">
        <v>249</v>
      </c>
      <c r="F506" s="76" t="s">
        <v>59</v>
      </c>
      <c r="G506" s="52">
        <v>-20.239999999999998</v>
      </c>
      <c r="H506" s="32" t="s">
        <v>845</v>
      </c>
    </row>
    <row r="507" spans="1:9" ht="18.75">
      <c r="A507" t="s">
        <v>959</v>
      </c>
      <c r="B507">
        <v>5</v>
      </c>
      <c r="C507">
        <v>2024</v>
      </c>
      <c r="D507" s="54">
        <v>45439</v>
      </c>
      <c r="E507" s="42" t="s">
        <v>249</v>
      </c>
      <c r="F507" s="76" t="s">
        <v>44</v>
      </c>
      <c r="G507" s="52">
        <v>-28.74</v>
      </c>
      <c r="H507" s="32" t="s">
        <v>960</v>
      </c>
    </row>
    <row r="508" spans="1:9" ht="18.75">
      <c r="A508" t="s">
        <v>961</v>
      </c>
      <c r="B508">
        <v>5</v>
      </c>
      <c r="C508">
        <v>2024</v>
      </c>
      <c r="D508" s="54">
        <v>45439</v>
      </c>
      <c r="E508" s="42" t="s">
        <v>249</v>
      </c>
      <c r="F508" s="76" t="s">
        <v>44</v>
      </c>
      <c r="G508" s="52">
        <v>-109.78</v>
      </c>
      <c r="H508" s="32" t="s">
        <v>962</v>
      </c>
    </row>
    <row r="509" spans="1:9" ht="18.75">
      <c r="A509" t="s">
        <v>963</v>
      </c>
      <c r="B509">
        <v>5</v>
      </c>
      <c r="C509">
        <v>2024</v>
      </c>
      <c r="D509" s="54">
        <v>45439</v>
      </c>
      <c r="E509" s="42" t="s">
        <v>146</v>
      </c>
      <c r="F509" s="76" t="s">
        <v>32</v>
      </c>
      <c r="G509" s="52">
        <v>-1000</v>
      </c>
      <c r="H509" s="32" t="s">
        <v>964</v>
      </c>
      <c r="I509" s="32" t="s">
        <v>965</v>
      </c>
    </row>
    <row r="510" spans="1:9" ht="18.75">
      <c r="A510" s="77" t="s">
        <v>966</v>
      </c>
      <c r="B510">
        <v>5</v>
      </c>
      <c r="C510">
        <v>2024</v>
      </c>
      <c r="D510" s="54">
        <v>45440</v>
      </c>
      <c r="E510" s="42" t="s">
        <v>160</v>
      </c>
      <c r="F510" s="76" t="s">
        <v>43</v>
      </c>
      <c r="G510" s="52">
        <v>-9.0299999999999994</v>
      </c>
      <c r="H510" s="32" t="s">
        <v>163</v>
      </c>
    </row>
    <row r="511" spans="1:9" ht="18.75">
      <c r="A511" t="s">
        <v>967</v>
      </c>
      <c r="B511">
        <v>5</v>
      </c>
      <c r="C511">
        <v>2024</v>
      </c>
      <c r="D511" s="54">
        <v>45440</v>
      </c>
      <c r="E511" s="42" t="s">
        <v>249</v>
      </c>
      <c r="F511" s="76" t="s">
        <v>59</v>
      </c>
      <c r="G511" s="52">
        <v>-17</v>
      </c>
      <c r="H511" s="32" t="s">
        <v>853</v>
      </c>
    </row>
    <row r="512" spans="1:9" ht="18.75">
      <c r="A512" t="s">
        <v>968</v>
      </c>
      <c r="B512">
        <v>5</v>
      </c>
      <c r="C512">
        <v>2024</v>
      </c>
      <c r="D512" s="54">
        <v>45440</v>
      </c>
      <c r="E512" s="42" t="s">
        <v>249</v>
      </c>
      <c r="F512" s="76" t="s">
        <v>32</v>
      </c>
      <c r="G512" s="52">
        <v>-29.51</v>
      </c>
      <c r="H512" s="32" t="s">
        <v>969</v>
      </c>
    </row>
    <row r="513" spans="1:9" ht="18.75">
      <c r="B513">
        <v>5</v>
      </c>
      <c r="C513">
        <v>2024</v>
      </c>
      <c r="D513" s="54">
        <v>45443</v>
      </c>
      <c r="F513" s="76" t="s">
        <v>58</v>
      </c>
      <c r="G513" s="52">
        <v>-140</v>
      </c>
      <c r="I513" s="32" t="s">
        <v>970</v>
      </c>
    </row>
    <row r="514" spans="1:9" ht="18.75">
      <c r="B514">
        <v>5</v>
      </c>
      <c r="C514">
        <v>2024</v>
      </c>
      <c r="D514" s="54">
        <v>45443</v>
      </c>
      <c r="F514" s="76" t="s">
        <v>53</v>
      </c>
      <c r="G514" s="52">
        <v>661.11999999999989</v>
      </c>
      <c r="I514" s="32" t="s">
        <v>971</v>
      </c>
    </row>
    <row r="515" spans="1:9" ht="18.75">
      <c r="B515">
        <v>5</v>
      </c>
      <c r="C515">
        <v>2024</v>
      </c>
      <c r="D515" s="54">
        <v>45443</v>
      </c>
      <c r="F515" s="76" t="s">
        <v>39</v>
      </c>
      <c r="G515" s="52">
        <v>14.69</v>
      </c>
      <c r="I515" s="32" t="s">
        <v>972</v>
      </c>
    </row>
    <row r="516" spans="1:9" ht="18.75">
      <c r="A516" t="s">
        <v>973</v>
      </c>
      <c r="B516">
        <v>5</v>
      </c>
      <c r="C516">
        <v>2024</v>
      </c>
      <c r="D516" s="54">
        <v>45443</v>
      </c>
      <c r="E516" s="42" t="s">
        <v>160</v>
      </c>
      <c r="F516" s="76" t="s">
        <v>33</v>
      </c>
      <c r="G516" s="52">
        <v>-443.25</v>
      </c>
      <c r="H516" s="32" t="s">
        <v>169</v>
      </c>
    </row>
    <row r="517" spans="1:9" ht="18.75">
      <c r="B517">
        <v>5</v>
      </c>
      <c r="C517">
        <v>2024</v>
      </c>
      <c r="D517" s="54">
        <v>45443</v>
      </c>
      <c r="F517" s="76" t="s">
        <v>35</v>
      </c>
      <c r="G517" s="52">
        <v>12.87</v>
      </c>
      <c r="I517" s="32" t="s">
        <v>972</v>
      </c>
    </row>
    <row r="518" spans="1:9" ht="18.75">
      <c r="A518" t="s">
        <v>974</v>
      </c>
      <c r="B518">
        <v>5</v>
      </c>
      <c r="C518">
        <v>2024</v>
      </c>
      <c r="D518" s="54">
        <v>45443</v>
      </c>
      <c r="E518" s="42" t="s">
        <v>160</v>
      </c>
      <c r="F518" s="76" t="s">
        <v>79</v>
      </c>
      <c r="G518" s="52">
        <v>2079.3000000000002</v>
      </c>
      <c r="H518" s="32" t="s">
        <v>171</v>
      </c>
    </row>
    <row r="519" spans="1:9" ht="18.75">
      <c r="B519">
        <v>5</v>
      </c>
      <c r="C519">
        <v>2024</v>
      </c>
      <c r="D519" s="54">
        <v>45443</v>
      </c>
      <c r="F519" s="76" t="s">
        <v>57</v>
      </c>
      <c r="G519" s="103">
        <v>70.28</v>
      </c>
      <c r="I519" s="32" t="s">
        <v>975</v>
      </c>
    </row>
    <row r="520" spans="1:9" ht="18.75">
      <c r="A520" t="s">
        <v>976</v>
      </c>
      <c r="B520">
        <v>5</v>
      </c>
      <c r="C520">
        <v>2024</v>
      </c>
      <c r="D520" s="54">
        <v>45443</v>
      </c>
      <c r="E520" s="42" t="s">
        <v>249</v>
      </c>
      <c r="F520" s="76" t="s">
        <v>59</v>
      </c>
      <c r="G520" s="52">
        <v>-15.01</v>
      </c>
      <c r="H520" s="32" t="s">
        <v>977</v>
      </c>
    </row>
    <row r="521" spans="1:9" ht="18.75">
      <c r="B521">
        <v>5</v>
      </c>
      <c r="C521">
        <v>2024</v>
      </c>
      <c r="D521" s="54">
        <v>45443</v>
      </c>
      <c r="F521" s="76" t="s">
        <v>59</v>
      </c>
      <c r="G521" s="52">
        <v>140</v>
      </c>
      <c r="I521" s="32" t="s">
        <v>978</v>
      </c>
    </row>
    <row r="522" spans="1:9" ht="18.75">
      <c r="B522">
        <v>5</v>
      </c>
      <c r="C522">
        <v>2024</v>
      </c>
      <c r="D522" s="54">
        <v>45443</v>
      </c>
      <c r="F522" s="76" t="s">
        <v>59</v>
      </c>
      <c r="G522" s="52">
        <v>140</v>
      </c>
      <c r="I522" s="32" t="s">
        <v>979</v>
      </c>
    </row>
    <row r="523" spans="1:9" ht="18.75">
      <c r="B523">
        <v>5</v>
      </c>
      <c r="C523">
        <v>2024</v>
      </c>
      <c r="D523" s="54">
        <v>45443</v>
      </c>
      <c r="F523" s="76" t="s">
        <v>59</v>
      </c>
      <c r="G523" s="52">
        <v>130</v>
      </c>
      <c r="I523" s="32" t="s">
        <v>980</v>
      </c>
    </row>
    <row r="524" spans="1:9" ht="18.75">
      <c r="B524">
        <v>5</v>
      </c>
      <c r="C524">
        <v>2024</v>
      </c>
      <c r="D524" s="54">
        <v>45443</v>
      </c>
      <c r="F524" s="76" t="s">
        <v>59</v>
      </c>
      <c r="G524" s="52">
        <v>50</v>
      </c>
      <c r="I524" s="32" t="s">
        <v>981</v>
      </c>
    </row>
    <row r="525" spans="1:9" ht="18.75">
      <c r="B525">
        <v>5</v>
      </c>
      <c r="C525">
        <v>2024</v>
      </c>
      <c r="D525" s="54">
        <v>45443</v>
      </c>
      <c r="F525" s="76" t="s">
        <v>41</v>
      </c>
      <c r="G525" s="52">
        <v>-50</v>
      </c>
      <c r="I525" s="32" t="s">
        <v>970</v>
      </c>
    </row>
    <row r="526" spans="1:9" ht="18.75">
      <c r="B526">
        <v>5</v>
      </c>
      <c r="C526">
        <v>2024</v>
      </c>
      <c r="D526" s="54">
        <v>45443</v>
      </c>
      <c r="F526" s="76" t="s">
        <v>187</v>
      </c>
      <c r="G526" s="52">
        <v>-12.870000000000005</v>
      </c>
      <c r="I526" s="32" t="s">
        <v>982</v>
      </c>
    </row>
    <row r="527" spans="1:9" ht="18.75">
      <c r="B527">
        <v>5</v>
      </c>
      <c r="C527">
        <v>2024</v>
      </c>
      <c r="D527" s="54">
        <v>45443</v>
      </c>
      <c r="F527" s="76" t="s">
        <v>187</v>
      </c>
      <c r="G527" s="52">
        <v>-14.689999999999998</v>
      </c>
      <c r="I527" s="32" t="s">
        <v>983</v>
      </c>
    </row>
    <row r="528" spans="1:9" ht="18.75">
      <c r="B528">
        <v>5</v>
      </c>
      <c r="C528">
        <v>2024</v>
      </c>
      <c r="D528" s="54">
        <v>45443</v>
      </c>
      <c r="F528" s="76" t="s">
        <v>187</v>
      </c>
      <c r="G528" s="52">
        <v>-70.28</v>
      </c>
      <c r="I528" s="32" t="s">
        <v>984</v>
      </c>
    </row>
    <row r="529" spans="1:9" ht="18.75">
      <c r="B529">
        <v>5</v>
      </c>
      <c r="C529">
        <v>2024</v>
      </c>
      <c r="D529" s="54">
        <v>45443</v>
      </c>
      <c r="F529" s="76" t="s">
        <v>44</v>
      </c>
      <c r="G529" s="52">
        <v>-140</v>
      </c>
      <c r="I529" s="32" t="s">
        <v>970</v>
      </c>
    </row>
    <row r="530" spans="1:9" ht="18.75">
      <c r="B530">
        <v>5</v>
      </c>
      <c r="C530">
        <v>2024</v>
      </c>
      <c r="D530" s="54">
        <v>45443</v>
      </c>
      <c r="F530" s="76" t="s">
        <v>50</v>
      </c>
      <c r="G530" s="52">
        <v>-130</v>
      </c>
      <c r="I530" s="32" t="s">
        <v>970</v>
      </c>
    </row>
    <row r="531" spans="1:9" ht="18.75">
      <c r="A531" t="s">
        <v>985</v>
      </c>
      <c r="B531">
        <v>6</v>
      </c>
      <c r="C531">
        <v>2024</v>
      </c>
      <c r="D531" s="54">
        <v>45444</v>
      </c>
      <c r="E531" s="42" t="s">
        <v>249</v>
      </c>
      <c r="F531" s="76" t="s">
        <v>57</v>
      </c>
      <c r="G531" s="52">
        <v>-143.12</v>
      </c>
      <c r="H531" s="32" t="s">
        <v>933</v>
      </c>
    </row>
    <row r="532" spans="1:9" ht="18.75">
      <c r="A532" t="s">
        <v>986</v>
      </c>
      <c r="B532">
        <v>6</v>
      </c>
      <c r="C532">
        <v>2024</v>
      </c>
      <c r="D532" s="54">
        <v>45444</v>
      </c>
      <c r="E532" s="42" t="s">
        <v>249</v>
      </c>
      <c r="F532" s="76" t="s">
        <v>59</v>
      </c>
      <c r="G532" s="52">
        <v>-13.5</v>
      </c>
      <c r="H532" s="32" t="s">
        <v>987</v>
      </c>
    </row>
    <row r="533" spans="1:9" ht="18.75">
      <c r="A533" t="s">
        <v>988</v>
      </c>
      <c r="B533">
        <v>6</v>
      </c>
      <c r="C533">
        <v>2024</v>
      </c>
      <c r="D533" s="54">
        <v>45444</v>
      </c>
      <c r="E533" s="42" t="s">
        <v>249</v>
      </c>
      <c r="F533" s="76" t="s">
        <v>59</v>
      </c>
      <c r="G533" s="52">
        <v>-118.06</v>
      </c>
      <c r="H533" s="32" t="s">
        <v>937</v>
      </c>
    </row>
    <row r="534" spans="1:9" ht="18.75">
      <c r="A534" t="s">
        <v>989</v>
      </c>
      <c r="B534">
        <v>6</v>
      </c>
      <c r="C534">
        <v>2024</v>
      </c>
      <c r="D534" s="54">
        <v>45445</v>
      </c>
      <c r="E534" s="42" t="s">
        <v>249</v>
      </c>
      <c r="F534" s="76" t="s">
        <v>54</v>
      </c>
      <c r="G534" s="52">
        <v>-11.82</v>
      </c>
      <c r="H534" s="32" t="s">
        <v>990</v>
      </c>
    </row>
    <row r="535" spans="1:9" ht="19.5" thickBot="1">
      <c r="A535" t="s">
        <v>991</v>
      </c>
      <c r="B535">
        <v>6</v>
      </c>
      <c r="C535">
        <v>2024</v>
      </c>
      <c r="D535" s="54">
        <v>45445</v>
      </c>
      <c r="E535" s="42" t="s">
        <v>249</v>
      </c>
      <c r="F535" s="76" t="s">
        <v>54</v>
      </c>
      <c r="G535" s="52">
        <v>-12.95</v>
      </c>
      <c r="H535" s="32" t="s">
        <v>992</v>
      </c>
    </row>
    <row r="536" spans="1:9" ht="19.5" thickBot="1">
      <c r="A536" t="s">
        <v>993</v>
      </c>
      <c r="B536">
        <v>6</v>
      </c>
      <c r="C536">
        <v>2024</v>
      </c>
      <c r="D536" s="54">
        <v>45453</v>
      </c>
      <c r="E536" s="42" t="s">
        <v>160</v>
      </c>
      <c r="F536" s="76" t="s">
        <v>49</v>
      </c>
      <c r="G536" s="104">
        <v>-50</v>
      </c>
      <c r="H536" s="32" t="s">
        <v>161</v>
      </c>
    </row>
    <row r="537" spans="1:9" ht="18.75">
      <c r="A537" t="s">
        <v>994</v>
      </c>
      <c r="B537">
        <v>6</v>
      </c>
      <c r="C537">
        <v>2024</v>
      </c>
      <c r="D537" s="54">
        <v>45446</v>
      </c>
      <c r="E537" s="42" t="s">
        <v>146</v>
      </c>
      <c r="F537" s="76" t="s">
        <v>48</v>
      </c>
      <c r="G537" s="52">
        <v>3.43</v>
      </c>
      <c r="H537" s="32" t="s">
        <v>175</v>
      </c>
    </row>
    <row r="538" spans="1:9" ht="18.75">
      <c r="A538" t="s">
        <v>995</v>
      </c>
      <c r="B538">
        <v>6</v>
      </c>
      <c r="C538">
        <v>2024</v>
      </c>
      <c r="D538" s="54">
        <v>45446</v>
      </c>
      <c r="E538" s="42" t="s">
        <v>146</v>
      </c>
      <c r="F538" s="76" t="s">
        <v>79</v>
      </c>
      <c r="G538" s="52">
        <v>2110</v>
      </c>
      <c r="H538" s="32" t="s">
        <v>996</v>
      </c>
    </row>
    <row r="539" spans="1:9" ht="18.75">
      <c r="A539" s="77" t="s">
        <v>997</v>
      </c>
      <c r="B539">
        <v>6</v>
      </c>
      <c r="C539">
        <v>2024</v>
      </c>
      <c r="D539" s="54">
        <v>45446</v>
      </c>
      <c r="E539" s="42" t="s">
        <v>160</v>
      </c>
      <c r="F539" s="76" t="s">
        <v>79</v>
      </c>
      <c r="G539" s="52">
        <v>2542.15</v>
      </c>
      <c r="H539" s="32" t="s">
        <v>998</v>
      </c>
    </row>
    <row r="540" spans="1:9" ht="18.75">
      <c r="A540" t="s">
        <v>999</v>
      </c>
      <c r="B540">
        <v>6</v>
      </c>
      <c r="C540">
        <v>2024</v>
      </c>
      <c r="D540" s="54">
        <v>45446</v>
      </c>
      <c r="E540" s="42" t="s">
        <v>160</v>
      </c>
      <c r="F540" s="76" t="s">
        <v>79</v>
      </c>
      <c r="G540" s="52">
        <v>-2110</v>
      </c>
      <c r="H540" s="32" t="s">
        <v>1000</v>
      </c>
    </row>
    <row r="541" spans="1:9" ht="18.75">
      <c r="A541" t="s">
        <v>1001</v>
      </c>
      <c r="B541">
        <v>6</v>
      </c>
      <c r="C541">
        <v>2024</v>
      </c>
      <c r="D541" s="54">
        <v>45446</v>
      </c>
      <c r="E541" s="42" t="s">
        <v>146</v>
      </c>
      <c r="F541" s="76" t="s">
        <v>79</v>
      </c>
      <c r="G541" s="52">
        <v>-2542.15</v>
      </c>
      <c r="H541" s="32" t="s">
        <v>1002</v>
      </c>
    </row>
    <row r="542" spans="1:9" ht="18.75">
      <c r="A542" t="s">
        <v>1003</v>
      </c>
      <c r="B542">
        <v>6</v>
      </c>
      <c r="C542">
        <v>2024</v>
      </c>
      <c r="D542" s="54">
        <v>45446</v>
      </c>
      <c r="E542" s="42" t="s">
        <v>146</v>
      </c>
      <c r="F542" s="76" t="s">
        <v>72</v>
      </c>
      <c r="G542" s="52">
        <v>200</v>
      </c>
      <c r="H542" s="32" t="s">
        <v>1004</v>
      </c>
      <c r="I542" s="32" t="s">
        <v>1005</v>
      </c>
    </row>
    <row r="543" spans="1:9" ht="18.75">
      <c r="A543" t="s">
        <v>1006</v>
      </c>
      <c r="B543">
        <v>6</v>
      </c>
      <c r="C543">
        <v>2024</v>
      </c>
      <c r="D543" s="54">
        <v>45446</v>
      </c>
      <c r="E543" s="42" t="s">
        <v>160</v>
      </c>
      <c r="F543" s="76" t="s">
        <v>72</v>
      </c>
      <c r="G543" s="52">
        <v>-200</v>
      </c>
      <c r="H543" s="32" t="s">
        <v>1007</v>
      </c>
      <c r="I543" s="32" t="s">
        <v>1005</v>
      </c>
    </row>
    <row r="544" spans="1:9" ht="18.75">
      <c r="A544" t="s">
        <v>1008</v>
      </c>
      <c r="B544">
        <v>6</v>
      </c>
      <c r="C544">
        <v>2024</v>
      </c>
      <c r="D544" s="54">
        <v>45446</v>
      </c>
      <c r="E544" s="42" t="s">
        <v>160</v>
      </c>
      <c r="F544" s="76" t="s">
        <v>187</v>
      </c>
      <c r="G544" s="52">
        <v>-450</v>
      </c>
      <c r="H544" s="32" t="s">
        <v>1009</v>
      </c>
    </row>
    <row r="545" spans="1:8" ht="18.75">
      <c r="A545" t="s">
        <v>1010</v>
      </c>
      <c r="B545">
        <v>6</v>
      </c>
      <c r="C545">
        <v>2024</v>
      </c>
      <c r="D545" s="54">
        <v>45446</v>
      </c>
      <c r="E545" s="42" t="s">
        <v>160</v>
      </c>
      <c r="F545" s="76" t="s">
        <v>40</v>
      </c>
      <c r="G545" s="52">
        <v>-100</v>
      </c>
      <c r="H545" s="32" t="s">
        <v>1011</v>
      </c>
    </row>
    <row r="546" spans="1:8" ht="18.75">
      <c r="A546" t="s">
        <v>1012</v>
      </c>
      <c r="B546">
        <v>6</v>
      </c>
      <c r="C546">
        <v>2024</v>
      </c>
      <c r="D546" s="54">
        <v>45446</v>
      </c>
      <c r="E546" s="42" t="s">
        <v>160</v>
      </c>
      <c r="F546" s="76" t="s">
        <v>40</v>
      </c>
      <c r="G546" s="52">
        <v>-100</v>
      </c>
      <c r="H546" s="32" t="s">
        <v>1013</v>
      </c>
    </row>
    <row r="547" spans="1:8" ht="18.75">
      <c r="A547" t="s">
        <v>1014</v>
      </c>
      <c r="B547">
        <v>6</v>
      </c>
      <c r="C547">
        <v>2024</v>
      </c>
      <c r="D547" s="54">
        <v>45447</v>
      </c>
      <c r="E547" s="42" t="s">
        <v>249</v>
      </c>
      <c r="F547" s="76" t="s">
        <v>59</v>
      </c>
      <c r="G547" s="52">
        <v>-2.69</v>
      </c>
      <c r="H547" s="32" t="s">
        <v>933</v>
      </c>
    </row>
    <row r="548" spans="1:8" ht="18.75">
      <c r="A548" t="s">
        <v>1015</v>
      </c>
      <c r="B548">
        <v>6</v>
      </c>
      <c r="C548">
        <v>2024</v>
      </c>
      <c r="D548" s="54">
        <v>45448</v>
      </c>
      <c r="E548" s="42" t="s">
        <v>160</v>
      </c>
      <c r="F548" s="76" t="s">
        <v>30</v>
      </c>
      <c r="G548" s="52">
        <v>-214.82</v>
      </c>
      <c r="H548" s="32" t="s">
        <v>196</v>
      </c>
    </row>
    <row r="549" spans="1:8" ht="18.75">
      <c r="A549" t="s">
        <v>1016</v>
      </c>
      <c r="B549">
        <v>6</v>
      </c>
      <c r="C549">
        <v>2024</v>
      </c>
      <c r="D549" s="54">
        <v>45448</v>
      </c>
      <c r="E549" s="42" t="s">
        <v>249</v>
      </c>
      <c r="F549" s="76" t="s">
        <v>59</v>
      </c>
      <c r="G549" s="52">
        <v>-14.4</v>
      </c>
      <c r="H549" s="32" t="s">
        <v>1017</v>
      </c>
    </row>
    <row r="550" spans="1:8" ht="18.75">
      <c r="A550" t="s">
        <v>1018</v>
      </c>
      <c r="B550">
        <v>6</v>
      </c>
      <c r="C550">
        <v>2024</v>
      </c>
      <c r="D550" s="54">
        <v>45448</v>
      </c>
      <c r="E550" s="42" t="s">
        <v>249</v>
      </c>
      <c r="F550" s="76" t="s">
        <v>59</v>
      </c>
      <c r="G550" s="52">
        <v>-17.05</v>
      </c>
      <c r="H550" s="32" t="s">
        <v>1017</v>
      </c>
    </row>
    <row r="551" spans="1:8" ht="18.75">
      <c r="A551" t="s">
        <v>1019</v>
      </c>
      <c r="B551">
        <v>6</v>
      </c>
      <c r="C551">
        <v>2024</v>
      </c>
      <c r="D551" s="54">
        <v>45448</v>
      </c>
      <c r="E551" s="42" t="s">
        <v>249</v>
      </c>
      <c r="F551" s="76" t="s">
        <v>59</v>
      </c>
      <c r="G551" s="52">
        <v>-25</v>
      </c>
      <c r="H551" s="32" t="s">
        <v>1020</v>
      </c>
    </row>
    <row r="552" spans="1:8" ht="18.75">
      <c r="A552" s="77" t="s">
        <v>1021</v>
      </c>
      <c r="B552">
        <v>6</v>
      </c>
      <c r="C552">
        <v>2024</v>
      </c>
      <c r="D552" s="54">
        <v>45448</v>
      </c>
      <c r="E552" s="42" t="s">
        <v>249</v>
      </c>
      <c r="F552" s="76" t="s">
        <v>59</v>
      </c>
      <c r="G552" s="52">
        <v>-13.79</v>
      </c>
      <c r="H552" s="32" t="s">
        <v>1022</v>
      </c>
    </row>
    <row r="553" spans="1:8" ht="18.75">
      <c r="A553" t="s">
        <v>1023</v>
      </c>
      <c r="B553">
        <v>6</v>
      </c>
      <c r="C553">
        <v>2024</v>
      </c>
      <c r="D553" s="54">
        <v>45448</v>
      </c>
      <c r="E553" s="42" t="s">
        <v>249</v>
      </c>
      <c r="F553" s="76" t="s">
        <v>32</v>
      </c>
      <c r="G553" s="52">
        <v>-184.47</v>
      </c>
      <c r="H553" s="32" t="s">
        <v>969</v>
      </c>
    </row>
    <row r="554" spans="1:8" ht="18.75">
      <c r="A554" t="s">
        <v>1024</v>
      </c>
      <c r="B554">
        <v>6</v>
      </c>
      <c r="C554">
        <v>2024</v>
      </c>
      <c r="D554" s="54">
        <v>45449</v>
      </c>
      <c r="E554" s="42" t="s">
        <v>160</v>
      </c>
      <c r="F554" s="76" t="s">
        <v>79</v>
      </c>
      <c r="G554" s="52">
        <v>1282.33</v>
      </c>
      <c r="H554" s="32" t="s">
        <v>190</v>
      </c>
    </row>
    <row r="555" spans="1:8" ht="18.75">
      <c r="A555" t="s">
        <v>1025</v>
      </c>
      <c r="B555">
        <v>6</v>
      </c>
      <c r="C555">
        <v>2024</v>
      </c>
      <c r="D555" s="54">
        <v>45449</v>
      </c>
      <c r="E555" s="42" t="s">
        <v>249</v>
      </c>
      <c r="F555" s="76" t="s">
        <v>54</v>
      </c>
      <c r="G555" s="52">
        <v>-2.86</v>
      </c>
      <c r="H555" s="32" t="s">
        <v>1026</v>
      </c>
    </row>
    <row r="556" spans="1:8" ht="18.75">
      <c r="A556" t="s">
        <v>1027</v>
      </c>
      <c r="B556">
        <v>6</v>
      </c>
      <c r="C556">
        <v>2024</v>
      </c>
      <c r="D556" s="54">
        <v>45449</v>
      </c>
      <c r="E556" s="42" t="s">
        <v>249</v>
      </c>
      <c r="F556" s="76" t="s">
        <v>59</v>
      </c>
      <c r="G556" s="52">
        <v>-25</v>
      </c>
      <c r="H556" s="32" t="s">
        <v>1028</v>
      </c>
    </row>
    <row r="557" spans="1:8" ht="18.75">
      <c r="A557" t="s">
        <v>1029</v>
      </c>
      <c r="B557">
        <v>6</v>
      </c>
      <c r="C557">
        <v>2024</v>
      </c>
      <c r="D557" s="54">
        <v>45450</v>
      </c>
      <c r="E557" s="42" t="s">
        <v>249</v>
      </c>
      <c r="F557" s="76" t="s">
        <v>42</v>
      </c>
      <c r="G557" s="52">
        <v>-25.98</v>
      </c>
      <c r="H557" s="32" t="s">
        <v>278</v>
      </c>
    </row>
    <row r="558" spans="1:8" ht="18.75">
      <c r="A558" t="s">
        <v>1030</v>
      </c>
      <c r="B558">
        <v>6</v>
      </c>
      <c r="C558">
        <v>2024</v>
      </c>
      <c r="D558" s="54">
        <v>45450</v>
      </c>
      <c r="E558" s="42" t="s">
        <v>249</v>
      </c>
      <c r="F558" s="76" t="s">
        <v>59</v>
      </c>
      <c r="G558" s="52">
        <v>-20</v>
      </c>
      <c r="H558" s="32" t="s">
        <v>1031</v>
      </c>
    </row>
    <row r="559" spans="1:8" ht="18.75">
      <c r="A559" t="s">
        <v>1032</v>
      </c>
      <c r="B559">
        <v>6</v>
      </c>
      <c r="C559">
        <v>2024</v>
      </c>
      <c r="D559" s="54">
        <v>45450</v>
      </c>
      <c r="E559" s="42" t="s">
        <v>249</v>
      </c>
      <c r="F559" s="76" t="s">
        <v>59</v>
      </c>
      <c r="G559" s="52">
        <v>-51.59</v>
      </c>
      <c r="H559" s="32" t="s">
        <v>1031</v>
      </c>
    </row>
    <row r="560" spans="1:8" ht="18.75">
      <c r="A560" t="s">
        <v>1033</v>
      </c>
      <c r="B560">
        <v>6</v>
      </c>
      <c r="C560">
        <v>2024</v>
      </c>
      <c r="D560" s="54">
        <v>45450</v>
      </c>
      <c r="E560" s="42" t="s">
        <v>249</v>
      </c>
      <c r="F560" s="76" t="s">
        <v>59</v>
      </c>
      <c r="G560" s="52">
        <v>-11.01</v>
      </c>
      <c r="H560" s="32" t="s">
        <v>1034</v>
      </c>
    </row>
    <row r="561" spans="1:8" ht="18.75">
      <c r="A561" t="s">
        <v>1035</v>
      </c>
      <c r="B561">
        <v>6</v>
      </c>
      <c r="C561">
        <v>2024</v>
      </c>
      <c r="D561" s="54">
        <v>45450</v>
      </c>
      <c r="E561" s="42" t="s">
        <v>249</v>
      </c>
      <c r="F561" s="76" t="s">
        <v>59</v>
      </c>
      <c r="G561" s="52">
        <v>-23</v>
      </c>
      <c r="H561" s="32" t="s">
        <v>1036</v>
      </c>
    </row>
    <row r="562" spans="1:8" ht="18.75">
      <c r="A562" t="s">
        <v>1037</v>
      </c>
      <c r="B562">
        <v>6</v>
      </c>
      <c r="C562">
        <v>2024</v>
      </c>
      <c r="D562" s="54">
        <v>45451</v>
      </c>
      <c r="E562" s="42" t="s">
        <v>249</v>
      </c>
      <c r="F562" s="76" t="s">
        <v>59</v>
      </c>
      <c r="G562" s="52">
        <v>-8.94</v>
      </c>
      <c r="H562" s="32" t="s">
        <v>1038</v>
      </c>
    </row>
    <row r="563" spans="1:8" ht="18.75">
      <c r="A563" t="s">
        <v>1039</v>
      </c>
      <c r="B563">
        <v>6</v>
      </c>
      <c r="C563">
        <v>2024</v>
      </c>
      <c r="D563" s="54">
        <v>45451</v>
      </c>
      <c r="E563" s="42" t="s">
        <v>249</v>
      </c>
      <c r="F563" s="76" t="s">
        <v>59</v>
      </c>
      <c r="G563" s="52">
        <v>-79.88</v>
      </c>
      <c r="H563" s="32" t="s">
        <v>1040</v>
      </c>
    </row>
    <row r="564" spans="1:8" ht="18.75">
      <c r="A564" t="s">
        <v>1041</v>
      </c>
      <c r="B564">
        <v>6</v>
      </c>
      <c r="C564">
        <v>2024</v>
      </c>
      <c r="D564" s="54">
        <v>45451</v>
      </c>
      <c r="E564" s="42" t="s">
        <v>249</v>
      </c>
      <c r="F564" s="76" t="s">
        <v>32</v>
      </c>
      <c r="G564" s="52">
        <v>-191.01</v>
      </c>
      <c r="H564" s="32" t="s">
        <v>1042</v>
      </c>
    </row>
    <row r="565" spans="1:8" ht="18.75">
      <c r="A565" t="s">
        <v>1043</v>
      </c>
      <c r="B565">
        <v>6</v>
      </c>
      <c r="C565">
        <v>2024</v>
      </c>
      <c r="D565" s="54">
        <v>45452</v>
      </c>
      <c r="E565" s="42" t="s">
        <v>249</v>
      </c>
      <c r="F565" s="76" t="s">
        <v>65</v>
      </c>
      <c r="G565" s="52">
        <v>-70.19</v>
      </c>
      <c r="H565" s="32" t="s">
        <v>1044</v>
      </c>
    </row>
    <row r="566" spans="1:8" ht="18.75">
      <c r="A566" t="s">
        <v>1045</v>
      </c>
      <c r="B566">
        <v>6</v>
      </c>
      <c r="C566">
        <v>2024</v>
      </c>
      <c r="D566" s="54">
        <v>45452</v>
      </c>
      <c r="E566" s="42" t="s">
        <v>249</v>
      </c>
      <c r="F566" s="76" t="s">
        <v>57</v>
      </c>
      <c r="G566" s="52">
        <v>-112.85</v>
      </c>
      <c r="H566" s="32" t="s">
        <v>1028</v>
      </c>
    </row>
    <row r="567" spans="1:8" ht="18.75">
      <c r="A567" t="s">
        <v>1046</v>
      </c>
      <c r="B567">
        <v>6</v>
      </c>
      <c r="C567">
        <v>2024</v>
      </c>
      <c r="D567" s="54">
        <v>45452</v>
      </c>
      <c r="E567" s="42" t="s">
        <v>249</v>
      </c>
      <c r="F567" s="76" t="s">
        <v>59</v>
      </c>
      <c r="G567" s="52">
        <v>-22.99</v>
      </c>
      <c r="H567" s="32" t="s">
        <v>1047</v>
      </c>
    </row>
    <row r="568" spans="1:8" ht="18.75">
      <c r="A568" t="s">
        <v>1048</v>
      </c>
      <c r="B568">
        <v>6</v>
      </c>
      <c r="C568">
        <v>2024</v>
      </c>
      <c r="D568" s="54">
        <v>45467</v>
      </c>
      <c r="E568" s="42" t="s">
        <v>160</v>
      </c>
      <c r="F568" s="76" t="s">
        <v>49</v>
      </c>
      <c r="G568" s="52">
        <v>-50</v>
      </c>
      <c r="H568" s="32" t="s">
        <v>161</v>
      </c>
    </row>
    <row r="569" spans="1:8" ht="18.75">
      <c r="A569" t="s">
        <v>1049</v>
      </c>
      <c r="B569">
        <v>6</v>
      </c>
      <c r="C569">
        <v>2024</v>
      </c>
      <c r="D569" s="54">
        <v>45453</v>
      </c>
      <c r="E569" s="42" t="s">
        <v>160</v>
      </c>
      <c r="F569" s="76" t="s">
        <v>51</v>
      </c>
      <c r="G569" s="52">
        <v>-125.87</v>
      </c>
      <c r="H569" s="32" t="s">
        <v>199</v>
      </c>
    </row>
    <row r="570" spans="1:8" ht="18.75">
      <c r="A570" t="s">
        <v>1050</v>
      </c>
      <c r="B570">
        <v>6</v>
      </c>
      <c r="C570">
        <v>2024</v>
      </c>
      <c r="D570" s="54">
        <v>45453</v>
      </c>
      <c r="E570" s="42" t="s">
        <v>249</v>
      </c>
      <c r="F570" s="76" t="s">
        <v>35</v>
      </c>
      <c r="G570" s="52">
        <v>-88.14</v>
      </c>
      <c r="H570" s="32" t="s">
        <v>285</v>
      </c>
    </row>
    <row r="571" spans="1:8" ht="18.75">
      <c r="A571" t="s">
        <v>1051</v>
      </c>
      <c r="B571">
        <v>6</v>
      </c>
      <c r="C571">
        <v>2024</v>
      </c>
      <c r="D571" s="54">
        <v>45454</v>
      </c>
      <c r="E571" s="42" t="s">
        <v>160</v>
      </c>
      <c r="F571" s="76" t="s">
        <v>36</v>
      </c>
      <c r="G571" s="52">
        <v>-57.8</v>
      </c>
      <c r="H571" s="32" t="s">
        <v>1052</v>
      </c>
    </row>
    <row r="572" spans="1:8" ht="18.75">
      <c r="A572" t="s">
        <v>1053</v>
      </c>
      <c r="B572">
        <v>6</v>
      </c>
      <c r="C572">
        <v>2024</v>
      </c>
      <c r="D572" s="54">
        <v>45454</v>
      </c>
      <c r="E572" s="42" t="s">
        <v>160</v>
      </c>
      <c r="F572" s="76" t="s">
        <v>43</v>
      </c>
      <c r="G572" s="52">
        <v>-9.0299999999999994</v>
      </c>
      <c r="H572" s="32" t="s">
        <v>163</v>
      </c>
    </row>
    <row r="573" spans="1:8" ht="18.75">
      <c r="A573" t="s">
        <v>1054</v>
      </c>
      <c r="B573">
        <v>6</v>
      </c>
      <c r="C573">
        <v>2024</v>
      </c>
      <c r="D573" s="54">
        <v>45454</v>
      </c>
      <c r="E573" s="42" t="s">
        <v>249</v>
      </c>
      <c r="F573" s="76" t="s">
        <v>57</v>
      </c>
      <c r="G573" s="52">
        <v>-44.47</v>
      </c>
      <c r="H573" s="32" t="s">
        <v>861</v>
      </c>
    </row>
    <row r="574" spans="1:8" ht="18.75">
      <c r="A574" t="s">
        <v>1055</v>
      </c>
      <c r="B574">
        <v>6</v>
      </c>
      <c r="C574">
        <v>2024</v>
      </c>
      <c r="D574" s="54">
        <v>45454</v>
      </c>
      <c r="E574" s="42" t="s">
        <v>249</v>
      </c>
      <c r="F574" s="76" t="s">
        <v>59</v>
      </c>
      <c r="G574" s="52">
        <v>-13.8</v>
      </c>
      <c r="H574" s="32" t="s">
        <v>1056</v>
      </c>
    </row>
    <row r="575" spans="1:8" ht="18.75">
      <c r="A575" t="s">
        <v>1057</v>
      </c>
      <c r="B575">
        <v>6</v>
      </c>
      <c r="C575">
        <v>2024</v>
      </c>
      <c r="D575" s="54">
        <v>45456</v>
      </c>
      <c r="E575" s="42" t="s">
        <v>249</v>
      </c>
      <c r="F575" s="76" t="s">
        <v>54</v>
      </c>
      <c r="G575" s="52">
        <v>-4.12</v>
      </c>
      <c r="H575" s="32" t="s">
        <v>1058</v>
      </c>
    </row>
    <row r="576" spans="1:8" ht="18.75">
      <c r="A576" t="s">
        <v>1059</v>
      </c>
      <c r="B576">
        <v>6</v>
      </c>
      <c r="C576">
        <v>2024</v>
      </c>
      <c r="D576" s="54">
        <v>45456</v>
      </c>
      <c r="E576" s="42" t="s">
        <v>249</v>
      </c>
      <c r="F576" s="76" t="s">
        <v>59</v>
      </c>
      <c r="G576" s="52">
        <v>-2.2999999999999998</v>
      </c>
      <c r="H576" s="32" t="s">
        <v>987</v>
      </c>
    </row>
    <row r="577" spans="1:8" ht="18.75">
      <c r="A577" t="s">
        <v>1060</v>
      </c>
      <c r="B577">
        <v>6</v>
      </c>
      <c r="C577">
        <v>2024</v>
      </c>
      <c r="D577" s="54">
        <v>45456</v>
      </c>
      <c r="E577" s="42" t="s">
        <v>249</v>
      </c>
      <c r="F577" s="76" t="s">
        <v>59</v>
      </c>
      <c r="G577" s="52">
        <v>-27.6</v>
      </c>
      <c r="H577" s="32" t="s">
        <v>1061</v>
      </c>
    </row>
    <row r="578" spans="1:8" ht="18.75">
      <c r="A578" t="s">
        <v>1062</v>
      </c>
      <c r="B578">
        <v>6</v>
      </c>
      <c r="C578">
        <v>2024</v>
      </c>
      <c r="D578" s="54">
        <v>45456</v>
      </c>
      <c r="E578" s="42" t="s">
        <v>249</v>
      </c>
      <c r="F578" s="76" t="s">
        <v>59</v>
      </c>
      <c r="G578" s="52">
        <v>-11.19</v>
      </c>
      <c r="H578" s="32" t="s">
        <v>933</v>
      </c>
    </row>
    <row r="579" spans="1:8" ht="18.75">
      <c r="A579" t="s">
        <v>1063</v>
      </c>
      <c r="B579">
        <v>6</v>
      </c>
      <c r="C579">
        <v>2024</v>
      </c>
      <c r="D579" s="54">
        <v>45456</v>
      </c>
      <c r="E579" s="42" t="s">
        <v>249</v>
      </c>
      <c r="F579" s="76" t="s">
        <v>59</v>
      </c>
      <c r="G579" s="52">
        <v>-36.03</v>
      </c>
      <c r="H579" s="32" t="s">
        <v>937</v>
      </c>
    </row>
    <row r="580" spans="1:8" ht="18.75">
      <c r="A580" t="s">
        <v>1064</v>
      </c>
      <c r="B580">
        <v>6</v>
      </c>
      <c r="C580">
        <v>2024</v>
      </c>
      <c r="D580" s="54">
        <v>45456</v>
      </c>
      <c r="E580" s="42" t="s">
        <v>249</v>
      </c>
      <c r="F580" s="76" t="s">
        <v>59</v>
      </c>
      <c r="G580" s="52">
        <v>-61.5</v>
      </c>
      <c r="H580" s="32" t="s">
        <v>1065</v>
      </c>
    </row>
    <row r="581" spans="1:8" ht="18.75">
      <c r="A581" t="s">
        <v>1066</v>
      </c>
      <c r="B581">
        <v>6</v>
      </c>
      <c r="C581">
        <v>2024</v>
      </c>
      <c r="D581" s="54">
        <v>45457</v>
      </c>
      <c r="E581" s="42" t="s">
        <v>160</v>
      </c>
      <c r="F581" s="76" t="s">
        <v>33</v>
      </c>
      <c r="G581" s="52">
        <v>-443.25</v>
      </c>
      <c r="H581" s="32" t="s">
        <v>169</v>
      </c>
    </row>
    <row r="582" spans="1:8" ht="18.75">
      <c r="A582" t="s">
        <v>1067</v>
      </c>
      <c r="B582">
        <v>6</v>
      </c>
      <c r="C582">
        <v>2024</v>
      </c>
      <c r="D582" s="54">
        <v>45457</v>
      </c>
      <c r="E582" s="42" t="s">
        <v>160</v>
      </c>
      <c r="F582" s="76" t="s">
        <v>79</v>
      </c>
      <c r="G582" s="52">
        <v>2046.79</v>
      </c>
      <c r="H582" s="32" t="s">
        <v>171</v>
      </c>
    </row>
    <row r="583" spans="1:8" ht="18.75">
      <c r="A583" t="s">
        <v>1068</v>
      </c>
      <c r="B583">
        <v>6</v>
      </c>
      <c r="C583">
        <v>2024</v>
      </c>
      <c r="D583" s="54">
        <v>45457</v>
      </c>
      <c r="E583" s="42" t="s">
        <v>249</v>
      </c>
      <c r="F583" s="76" t="s">
        <v>59</v>
      </c>
      <c r="G583" s="52">
        <v>-12.59</v>
      </c>
      <c r="H583" s="32" t="s">
        <v>1069</v>
      </c>
    </row>
    <row r="584" spans="1:8" ht="18.75">
      <c r="A584" s="77" t="s">
        <v>1070</v>
      </c>
      <c r="B584">
        <v>6</v>
      </c>
      <c r="C584">
        <v>2024</v>
      </c>
      <c r="D584" s="54">
        <v>45457</v>
      </c>
      <c r="E584" s="42" t="s">
        <v>249</v>
      </c>
      <c r="F584" s="76" t="s">
        <v>59</v>
      </c>
      <c r="G584" s="52">
        <v>-23.17</v>
      </c>
      <c r="H584" s="32" t="s">
        <v>1069</v>
      </c>
    </row>
    <row r="585" spans="1:8" ht="18.75">
      <c r="A585" t="s">
        <v>1071</v>
      </c>
      <c r="B585">
        <v>6</v>
      </c>
      <c r="C585">
        <v>2024</v>
      </c>
      <c r="D585" s="54">
        <v>45457</v>
      </c>
      <c r="E585" s="42" t="s">
        <v>249</v>
      </c>
      <c r="F585" s="76" t="s">
        <v>59</v>
      </c>
      <c r="G585" s="52">
        <v>-89.93</v>
      </c>
      <c r="H585" s="32" t="s">
        <v>1072</v>
      </c>
    </row>
    <row r="586" spans="1:8" ht="18.75">
      <c r="A586" t="s">
        <v>1073</v>
      </c>
      <c r="B586">
        <v>6</v>
      </c>
      <c r="C586">
        <v>2024</v>
      </c>
      <c r="D586" s="54">
        <v>45457</v>
      </c>
      <c r="E586" s="42" t="s">
        <v>249</v>
      </c>
      <c r="F586" s="76" t="s">
        <v>59</v>
      </c>
      <c r="G586" s="52">
        <v>-60.01</v>
      </c>
      <c r="H586" s="32" t="s">
        <v>1074</v>
      </c>
    </row>
    <row r="587" spans="1:8" ht="18.75">
      <c r="A587" t="s">
        <v>1075</v>
      </c>
      <c r="B587">
        <v>6</v>
      </c>
      <c r="C587">
        <v>2024</v>
      </c>
      <c r="D587" s="54">
        <v>45457</v>
      </c>
      <c r="E587" s="42" t="s">
        <v>249</v>
      </c>
      <c r="F587" s="76" t="s">
        <v>59</v>
      </c>
      <c r="G587" s="52">
        <v>-33.9</v>
      </c>
      <c r="H587" s="32" t="s">
        <v>1076</v>
      </c>
    </row>
    <row r="588" spans="1:8" ht="18.75">
      <c r="A588" t="s">
        <v>1077</v>
      </c>
      <c r="B588">
        <v>6</v>
      </c>
      <c r="C588">
        <v>2024</v>
      </c>
      <c r="D588" s="54">
        <v>45457</v>
      </c>
      <c r="E588" s="42" t="s">
        <v>249</v>
      </c>
      <c r="F588" s="76" t="s">
        <v>59</v>
      </c>
      <c r="G588" s="52">
        <v>-31.77</v>
      </c>
      <c r="H588" s="32" t="s">
        <v>1078</v>
      </c>
    </row>
    <row r="589" spans="1:8" ht="18.75">
      <c r="A589" t="s">
        <v>1079</v>
      </c>
      <c r="B589">
        <v>6</v>
      </c>
      <c r="C589">
        <v>2024</v>
      </c>
      <c r="D589" s="54">
        <v>45458</v>
      </c>
      <c r="E589" s="42" t="s">
        <v>249</v>
      </c>
      <c r="F589" s="76" t="s">
        <v>39</v>
      </c>
      <c r="G589" s="52">
        <v>-104.62</v>
      </c>
      <c r="H589" s="32" t="s">
        <v>304</v>
      </c>
    </row>
    <row r="590" spans="1:8" ht="18.75">
      <c r="A590" t="s">
        <v>1080</v>
      </c>
      <c r="B590">
        <v>6</v>
      </c>
      <c r="C590">
        <v>2024</v>
      </c>
      <c r="D590" s="54">
        <v>45458</v>
      </c>
      <c r="E590" s="42" t="s">
        <v>249</v>
      </c>
      <c r="F590" s="76" t="s">
        <v>59</v>
      </c>
      <c r="G590" s="52">
        <v>-78.040000000000006</v>
      </c>
      <c r="H590" s="32" t="s">
        <v>1081</v>
      </c>
    </row>
    <row r="591" spans="1:8" ht="18.75">
      <c r="A591" t="s">
        <v>1082</v>
      </c>
      <c r="B591">
        <v>6</v>
      </c>
      <c r="C591">
        <v>2024</v>
      </c>
      <c r="D591" s="54">
        <v>45458</v>
      </c>
      <c r="E591" s="42" t="s">
        <v>249</v>
      </c>
      <c r="F591" s="76" t="s">
        <v>59</v>
      </c>
      <c r="G591" s="52">
        <v>-85.96</v>
      </c>
      <c r="H591" s="32" t="s">
        <v>872</v>
      </c>
    </row>
    <row r="592" spans="1:8" ht="18.75">
      <c r="A592" t="s">
        <v>1083</v>
      </c>
      <c r="B592">
        <v>6</v>
      </c>
      <c r="C592">
        <v>2024</v>
      </c>
      <c r="D592" s="54">
        <v>45459</v>
      </c>
      <c r="E592" s="42" t="s">
        <v>249</v>
      </c>
      <c r="F592" s="76" t="s">
        <v>59</v>
      </c>
      <c r="G592" s="52">
        <v>-4.8600000000000003</v>
      </c>
      <c r="H592" s="32" t="s">
        <v>857</v>
      </c>
    </row>
    <row r="593" spans="1:8" ht="18.75">
      <c r="A593" t="s">
        <v>1084</v>
      </c>
      <c r="B593">
        <v>6</v>
      </c>
      <c r="C593">
        <v>2024</v>
      </c>
      <c r="D593" s="54">
        <v>45459</v>
      </c>
      <c r="E593" s="42" t="s">
        <v>249</v>
      </c>
      <c r="F593" s="76" t="s">
        <v>59</v>
      </c>
      <c r="G593" s="52">
        <v>-46.64</v>
      </c>
      <c r="H593" s="32" t="s">
        <v>933</v>
      </c>
    </row>
    <row r="594" spans="1:8" ht="18.75">
      <c r="A594" t="s">
        <v>1085</v>
      </c>
      <c r="B594">
        <v>6</v>
      </c>
      <c r="C594">
        <v>2024</v>
      </c>
      <c r="D594" s="54">
        <v>45460</v>
      </c>
      <c r="E594" s="42" t="s">
        <v>160</v>
      </c>
      <c r="F594" s="76" t="s">
        <v>51</v>
      </c>
      <c r="G594" s="52">
        <v>-125.57</v>
      </c>
      <c r="H594" s="32" t="s">
        <v>210</v>
      </c>
    </row>
    <row r="595" spans="1:8" ht="18.75">
      <c r="A595" t="s">
        <v>1086</v>
      </c>
      <c r="B595">
        <v>6</v>
      </c>
      <c r="C595">
        <v>2024</v>
      </c>
      <c r="D595" s="54">
        <v>45460</v>
      </c>
      <c r="E595" s="42" t="s">
        <v>160</v>
      </c>
      <c r="F595" s="76" t="s">
        <v>64</v>
      </c>
      <c r="G595" s="52">
        <v>-280</v>
      </c>
      <c r="H595" s="32" t="s">
        <v>208</v>
      </c>
    </row>
    <row r="596" spans="1:8" ht="18.75">
      <c r="A596" t="s">
        <v>1087</v>
      </c>
      <c r="B596">
        <v>6</v>
      </c>
      <c r="C596">
        <v>2024</v>
      </c>
      <c r="D596" s="54">
        <v>45460</v>
      </c>
      <c r="E596" s="42" t="s">
        <v>249</v>
      </c>
      <c r="F596" s="76" t="s">
        <v>79</v>
      </c>
      <c r="G596" s="52">
        <v>3258.35</v>
      </c>
      <c r="H596" s="32" t="s">
        <v>306</v>
      </c>
    </row>
    <row r="597" spans="1:8" ht="18.75">
      <c r="A597" t="s">
        <v>1088</v>
      </c>
      <c r="B597">
        <v>6</v>
      </c>
      <c r="C597">
        <v>2024</v>
      </c>
      <c r="D597" s="54">
        <v>45461</v>
      </c>
      <c r="E597" s="42" t="s">
        <v>160</v>
      </c>
      <c r="F597" s="76" t="s">
        <v>79</v>
      </c>
      <c r="G597" s="52">
        <v>-3258.35</v>
      </c>
      <c r="H597" s="32" t="s">
        <v>214</v>
      </c>
    </row>
    <row r="598" spans="1:8" ht="18.75">
      <c r="A598" t="s">
        <v>1089</v>
      </c>
      <c r="B598">
        <v>6</v>
      </c>
      <c r="C598">
        <v>2024</v>
      </c>
      <c r="D598" s="54">
        <v>45461</v>
      </c>
      <c r="E598" s="42" t="s">
        <v>160</v>
      </c>
      <c r="F598" s="76" t="s">
        <v>60</v>
      </c>
      <c r="G598" s="52">
        <v>-96</v>
      </c>
      <c r="H598" s="32" t="s">
        <v>212</v>
      </c>
    </row>
    <row r="599" spans="1:8" ht="18.75">
      <c r="A599" t="s">
        <v>1090</v>
      </c>
      <c r="B599">
        <v>6</v>
      </c>
      <c r="C599">
        <v>2024</v>
      </c>
      <c r="D599" s="54">
        <v>45461</v>
      </c>
      <c r="E599" s="42" t="s">
        <v>249</v>
      </c>
      <c r="F599" s="76" t="s">
        <v>59</v>
      </c>
      <c r="G599" s="52">
        <v>-20.65</v>
      </c>
      <c r="H599" s="32" t="s">
        <v>1091</v>
      </c>
    </row>
    <row r="600" spans="1:8" ht="18.75">
      <c r="A600" t="s">
        <v>1092</v>
      </c>
      <c r="B600">
        <v>6</v>
      </c>
      <c r="C600">
        <v>2024</v>
      </c>
      <c r="D600" s="54">
        <v>45461</v>
      </c>
      <c r="E600" s="42" t="s">
        <v>249</v>
      </c>
      <c r="F600" s="76" t="s">
        <v>59</v>
      </c>
      <c r="G600" s="52">
        <v>-176.28</v>
      </c>
      <c r="H600" s="32" t="s">
        <v>1093</v>
      </c>
    </row>
    <row r="601" spans="1:8" ht="18.75">
      <c r="A601" t="s">
        <v>1094</v>
      </c>
      <c r="B601">
        <v>6</v>
      </c>
      <c r="C601">
        <v>2024</v>
      </c>
      <c r="D601" s="54">
        <v>45461</v>
      </c>
      <c r="E601" s="42" t="s">
        <v>249</v>
      </c>
      <c r="F601" s="76" t="s">
        <v>59</v>
      </c>
      <c r="G601" s="52">
        <v>-52.89</v>
      </c>
      <c r="H601" s="32" t="s">
        <v>933</v>
      </c>
    </row>
    <row r="602" spans="1:8" ht="18.75">
      <c r="A602" t="s">
        <v>1095</v>
      </c>
      <c r="B602">
        <v>6</v>
      </c>
      <c r="C602">
        <v>2024</v>
      </c>
      <c r="D602" s="54">
        <v>45461</v>
      </c>
      <c r="E602" s="42" t="s">
        <v>249</v>
      </c>
      <c r="F602" s="76" t="s">
        <v>59</v>
      </c>
      <c r="G602" s="52">
        <v>-42.55</v>
      </c>
      <c r="H602" s="32" t="s">
        <v>1096</v>
      </c>
    </row>
    <row r="603" spans="1:8" ht="18.75">
      <c r="A603" t="s">
        <v>1097</v>
      </c>
      <c r="B603">
        <v>6</v>
      </c>
      <c r="C603">
        <v>2024</v>
      </c>
      <c r="D603" s="54">
        <v>45461</v>
      </c>
      <c r="E603" s="42" t="s">
        <v>249</v>
      </c>
      <c r="F603" s="76" t="s">
        <v>59</v>
      </c>
      <c r="G603" s="52">
        <v>-47.78</v>
      </c>
      <c r="H603" s="32" t="s">
        <v>937</v>
      </c>
    </row>
    <row r="604" spans="1:8" ht="18.75">
      <c r="A604" t="s">
        <v>1098</v>
      </c>
      <c r="B604">
        <v>6</v>
      </c>
      <c r="C604">
        <v>2024</v>
      </c>
      <c r="D604" s="54">
        <v>45462</v>
      </c>
      <c r="E604" s="42" t="s">
        <v>249</v>
      </c>
      <c r="F604" s="76" t="s">
        <v>45</v>
      </c>
      <c r="G604" s="52">
        <v>-40.24</v>
      </c>
      <c r="H604" s="32" t="s">
        <v>955</v>
      </c>
    </row>
    <row r="605" spans="1:8" ht="18.75">
      <c r="A605" t="s">
        <v>1099</v>
      </c>
      <c r="B605">
        <v>6</v>
      </c>
      <c r="C605">
        <v>2024</v>
      </c>
      <c r="D605" s="54">
        <v>45462</v>
      </c>
      <c r="E605" s="42" t="s">
        <v>249</v>
      </c>
      <c r="F605" s="76" t="s">
        <v>59</v>
      </c>
      <c r="G605" s="52">
        <v>-3.75</v>
      </c>
      <c r="H605" s="32" t="s">
        <v>853</v>
      </c>
    </row>
    <row r="606" spans="1:8" ht="18.75">
      <c r="A606" t="s">
        <v>1100</v>
      </c>
      <c r="B606">
        <v>6</v>
      </c>
      <c r="C606">
        <v>2024</v>
      </c>
      <c r="D606" s="54">
        <v>45462</v>
      </c>
      <c r="E606" s="42" t="s">
        <v>249</v>
      </c>
      <c r="F606" s="76" t="s">
        <v>59</v>
      </c>
      <c r="G606" s="52">
        <v>-6.21</v>
      </c>
      <c r="H606" s="32" t="s">
        <v>1101</v>
      </c>
    </row>
    <row r="607" spans="1:8" ht="18.75">
      <c r="A607" t="s">
        <v>1102</v>
      </c>
      <c r="B607">
        <v>6</v>
      </c>
      <c r="C607">
        <v>2024</v>
      </c>
      <c r="D607" s="54">
        <v>45463</v>
      </c>
      <c r="E607" s="42" t="s">
        <v>160</v>
      </c>
      <c r="F607" s="76" t="s">
        <v>79</v>
      </c>
      <c r="G607" s="52">
        <v>1282.33</v>
      </c>
      <c r="H607" s="32" t="s">
        <v>190</v>
      </c>
    </row>
    <row r="608" spans="1:8" ht="18.75">
      <c r="A608" t="s">
        <v>1103</v>
      </c>
      <c r="B608">
        <v>6</v>
      </c>
      <c r="C608">
        <v>2024</v>
      </c>
      <c r="D608" s="54">
        <v>45464</v>
      </c>
      <c r="E608" s="42" t="s">
        <v>160</v>
      </c>
      <c r="F608" s="76" t="s">
        <v>63</v>
      </c>
      <c r="G608" s="52">
        <v>-118.66</v>
      </c>
      <c r="H608" s="32" t="s">
        <v>224</v>
      </c>
    </row>
    <row r="609" spans="1:8" ht="18.75">
      <c r="A609" t="s">
        <v>1104</v>
      </c>
      <c r="B609">
        <v>6</v>
      </c>
      <c r="C609">
        <v>2024</v>
      </c>
      <c r="D609" s="54">
        <v>45464</v>
      </c>
      <c r="E609" s="42" t="s">
        <v>249</v>
      </c>
      <c r="F609" s="76" t="s">
        <v>57</v>
      </c>
      <c r="G609" s="52">
        <v>-46.2</v>
      </c>
      <c r="H609" s="32" t="s">
        <v>845</v>
      </c>
    </row>
    <row r="610" spans="1:8" ht="18.75">
      <c r="A610" t="s">
        <v>1105</v>
      </c>
      <c r="B610">
        <v>6</v>
      </c>
      <c r="C610">
        <v>2024</v>
      </c>
      <c r="D610" s="54">
        <v>45464</v>
      </c>
      <c r="E610" s="42" t="s">
        <v>249</v>
      </c>
      <c r="F610" s="76" t="s">
        <v>59</v>
      </c>
      <c r="G610" s="52">
        <v>-14.26</v>
      </c>
      <c r="H610" s="32" t="s">
        <v>1106</v>
      </c>
    </row>
    <row r="611" spans="1:8" ht="18.75">
      <c r="A611" t="s">
        <v>1107</v>
      </c>
      <c r="B611">
        <v>6</v>
      </c>
      <c r="C611">
        <v>2024</v>
      </c>
      <c r="D611" s="54">
        <v>45464</v>
      </c>
      <c r="E611" s="42" t="s">
        <v>249</v>
      </c>
      <c r="F611" s="76" t="s">
        <v>59</v>
      </c>
      <c r="G611" s="52">
        <v>-21.84</v>
      </c>
      <c r="H611" s="32" t="s">
        <v>1106</v>
      </c>
    </row>
    <row r="612" spans="1:8" ht="18.75">
      <c r="A612" t="s">
        <v>1108</v>
      </c>
      <c r="B612">
        <v>6</v>
      </c>
      <c r="C612">
        <v>2024</v>
      </c>
      <c r="D612" s="54">
        <v>45464</v>
      </c>
      <c r="E612" s="42" t="s">
        <v>249</v>
      </c>
      <c r="F612" s="76" t="s">
        <v>59</v>
      </c>
      <c r="G612" s="52">
        <v>-67.25</v>
      </c>
      <c r="H612" s="32" t="s">
        <v>1109</v>
      </c>
    </row>
    <row r="613" spans="1:8" ht="18.75">
      <c r="A613" t="s">
        <v>1110</v>
      </c>
      <c r="B613">
        <v>6</v>
      </c>
      <c r="C613">
        <v>2024</v>
      </c>
      <c r="D613" s="54">
        <v>45464</v>
      </c>
      <c r="E613" s="42" t="s">
        <v>249</v>
      </c>
      <c r="F613" s="76" t="s">
        <v>32</v>
      </c>
      <c r="G613" s="52">
        <v>-198.32</v>
      </c>
      <c r="H613" s="32" t="s">
        <v>1111</v>
      </c>
    </row>
    <row r="614" spans="1:8" ht="18.75">
      <c r="A614" t="s">
        <v>1112</v>
      </c>
      <c r="B614">
        <v>6</v>
      </c>
      <c r="C614">
        <v>2024</v>
      </c>
      <c r="D614" s="54">
        <v>45465</v>
      </c>
      <c r="E614" s="42" t="s">
        <v>249</v>
      </c>
      <c r="F614" s="76" t="s">
        <v>59</v>
      </c>
      <c r="G614" s="52">
        <v>-38.01</v>
      </c>
      <c r="H614" s="32" t="s">
        <v>1113</v>
      </c>
    </row>
    <row r="615" spans="1:8" ht="18.75">
      <c r="A615" t="s">
        <v>1114</v>
      </c>
      <c r="B615">
        <v>6</v>
      </c>
      <c r="C615">
        <v>2024</v>
      </c>
      <c r="D615" s="54">
        <v>45465</v>
      </c>
      <c r="E615" s="42" t="s">
        <v>249</v>
      </c>
      <c r="F615" s="76" t="s">
        <v>59</v>
      </c>
      <c r="G615" s="52">
        <v>-21.79</v>
      </c>
      <c r="H615" s="32" t="s">
        <v>1115</v>
      </c>
    </row>
    <row r="616" spans="1:8" ht="18.75">
      <c r="A616" t="s">
        <v>1116</v>
      </c>
      <c r="B616">
        <v>6</v>
      </c>
      <c r="C616">
        <v>2024</v>
      </c>
      <c r="D616" s="54">
        <v>45465</v>
      </c>
      <c r="E616" s="42" t="s">
        <v>249</v>
      </c>
      <c r="F616" s="76" t="s">
        <v>59</v>
      </c>
      <c r="G616" s="52">
        <v>-13.34</v>
      </c>
      <c r="H616" s="32" t="s">
        <v>1117</v>
      </c>
    </row>
    <row r="617" spans="1:8" ht="18.75">
      <c r="A617" t="s">
        <v>1118</v>
      </c>
      <c r="B617">
        <v>6</v>
      </c>
      <c r="C617">
        <v>2024</v>
      </c>
      <c r="D617" s="54">
        <v>45465</v>
      </c>
      <c r="E617" s="42" t="s">
        <v>249</v>
      </c>
      <c r="F617" s="76" t="s">
        <v>59</v>
      </c>
      <c r="G617" s="52">
        <v>-4.63</v>
      </c>
      <c r="H617" s="32" t="s">
        <v>1119</v>
      </c>
    </row>
    <row r="618" spans="1:8" ht="18.75">
      <c r="A618" t="s">
        <v>1120</v>
      </c>
      <c r="B618">
        <v>6</v>
      </c>
      <c r="C618">
        <v>2024</v>
      </c>
      <c r="D618" s="54">
        <v>45466</v>
      </c>
      <c r="E618" s="42" t="s">
        <v>249</v>
      </c>
      <c r="F618" s="76" t="s">
        <v>45</v>
      </c>
      <c r="G618" s="52">
        <v>-33</v>
      </c>
      <c r="H618" s="32" t="s">
        <v>1121</v>
      </c>
    </row>
    <row r="619" spans="1:8" ht="18.75">
      <c r="A619" s="77" t="s">
        <v>1122</v>
      </c>
      <c r="B619">
        <v>6</v>
      </c>
      <c r="C619">
        <v>2024</v>
      </c>
      <c r="D619" s="54">
        <v>45466</v>
      </c>
      <c r="E619" s="42" t="s">
        <v>249</v>
      </c>
      <c r="F619" s="76" t="s">
        <v>52</v>
      </c>
      <c r="G619" s="52">
        <v>-105.18</v>
      </c>
      <c r="H619" s="32" t="s">
        <v>1123</v>
      </c>
    </row>
    <row r="620" spans="1:8" ht="18.75">
      <c r="A620" t="s">
        <v>1124</v>
      </c>
      <c r="B620">
        <v>6</v>
      </c>
      <c r="C620">
        <v>2024</v>
      </c>
      <c r="D620" s="54">
        <v>45466</v>
      </c>
      <c r="E620" s="42" t="s">
        <v>249</v>
      </c>
      <c r="F620" s="76" t="s">
        <v>52</v>
      </c>
      <c r="G620" s="52">
        <v>-271.14</v>
      </c>
      <c r="H620" s="32" t="s">
        <v>1125</v>
      </c>
    </row>
    <row r="621" spans="1:8" ht="18.75">
      <c r="A621" t="s">
        <v>1126</v>
      </c>
      <c r="B621">
        <v>6</v>
      </c>
      <c r="C621">
        <v>2024</v>
      </c>
      <c r="D621" s="54">
        <v>45466</v>
      </c>
      <c r="E621" s="42" t="s">
        <v>249</v>
      </c>
      <c r="F621" s="76" t="s">
        <v>57</v>
      </c>
      <c r="G621" s="52">
        <v>-6.08</v>
      </c>
      <c r="H621" s="32" t="s">
        <v>310</v>
      </c>
    </row>
    <row r="622" spans="1:8" ht="18.75">
      <c r="A622" t="s">
        <v>1127</v>
      </c>
      <c r="B622">
        <v>6</v>
      </c>
      <c r="C622">
        <v>2024</v>
      </c>
      <c r="D622" s="54">
        <v>45466</v>
      </c>
      <c r="E622" s="42" t="s">
        <v>249</v>
      </c>
      <c r="F622" s="76" t="s">
        <v>54</v>
      </c>
      <c r="G622" s="52">
        <v>-6.34</v>
      </c>
      <c r="H622" s="32" t="s">
        <v>1128</v>
      </c>
    </row>
    <row r="623" spans="1:8" ht="18.75">
      <c r="A623" t="s">
        <v>1129</v>
      </c>
      <c r="B623">
        <v>6</v>
      </c>
      <c r="C623">
        <v>2024</v>
      </c>
      <c r="D623" s="54">
        <v>45466</v>
      </c>
      <c r="E623" s="42" t="s">
        <v>249</v>
      </c>
      <c r="F623" s="76" t="s">
        <v>59</v>
      </c>
      <c r="G623" s="52">
        <v>-53.06</v>
      </c>
      <c r="H623" s="32" t="s">
        <v>293</v>
      </c>
    </row>
    <row r="624" spans="1:8" ht="18.75">
      <c r="A624" t="s">
        <v>1130</v>
      </c>
      <c r="B624">
        <v>7</v>
      </c>
      <c r="C624">
        <v>2024</v>
      </c>
      <c r="D624" s="54">
        <v>45475</v>
      </c>
      <c r="E624" s="42" t="s">
        <v>160</v>
      </c>
      <c r="F624" s="76" t="s">
        <v>49</v>
      </c>
      <c r="G624" s="52">
        <v>-50</v>
      </c>
      <c r="H624" s="32" t="s">
        <v>173</v>
      </c>
    </row>
    <row r="625" spans="1:8" ht="18.75">
      <c r="A625" t="s">
        <v>1131</v>
      </c>
      <c r="B625">
        <v>6</v>
      </c>
      <c r="C625">
        <v>2024</v>
      </c>
      <c r="D625" s="54">
        <v>45467</v>
      </c>
      <c r="E625" s="42" t="s">
        <v>160</v>
      </c>
      <c r="F625" s="76" t="s">
        <v>48</v>
      </c>
      <c r="G625" s="52">
        <v>-8.86</v>
      </c>
      <c r="H625" s="32" t="s">
        <v>220</v>
      </c>
    </row>
    <row r="626" spans="1:8" ht="18.75">
      <c r="A626" t="s">
        <v>1132</v>
      </c>
      <c r="B626">
        <v>6</v>
      </c>
      <c r="C626">
        <v>2024</v>
      </c>
      <c r="D626" s="54">
        <v>45467</v>
      </c>
      <c r="E626" s="42" t="s">
        <v>249</v>
      </c>
      <c r="F626" s="76" t="s">
        <v>66</v>
      </c>
      <c r="G626" s="52">
        <v>-1.5</v>
      </c>
      <c r="H626" s="32" t="s">
        <v>616</v>
      </c>
    </row>
    <row r="627" spans="1:8" ht="18.75">
      <c r="A627" t="s">
        <v>1133</v>
      </c>
      <c r="B627">
        <v>6</v>
      </c>
      <c r="C627">
        <v>2024</v>
      </c>
      <c r="D627" s="54">
        <v>45467</v>
      </c>
      <c r="E627" s="42" t="s">
        <v>249</v>
      </c>
      <c r="F627" s="76" t="s">
        <v>57</v>
      </c>
      <c r="G627" s="52">
        <v>-124.91</v>
      </c>
      <c r="H627" s="32" t="s">
        <v>351</v>
      </c>
    </row>
    <row r="628" spans="1:8" ht="18.75">
      <c r="A628" t="s">
        <v>1134</v>
      </c>
      <c r="B628">
        <v>6</v>
      </c>
      <c r="C628">
        <v>2024</v>
      </c>
      <c r="D628" s="54">
        <v>45467</v>
      </c>
      <c r="E628" s="42" t="s">
        <v>249</v>
      </c>
      <c r="F628" s="76" t="s">
        <v>44</v>
      </c>
      <c r="G628" s="52">
        <v>-33.909999999999997</v>
      </c>
      <c r="H628" s="32" t="s">
        <v>1135</v>
      </c>
    </row>
    <row r="629" spans="1:8" ht="18.75">
      <c r="A629" t="s">
        <v>1136</v>
      </c>
      <c r="B629">
        <v>6</v>
      </c>
      <c r="C629">
        <v>2024</v>
      </c>
      <c r="D629" s="54">
        <v>45467</v>
      </c>
      <c r="E629" s="42" t="s">
        <v>249</v>
      </c>
      <c r="F629" s="76" t="s">
        <v>44</v>
      </c>
      <c r="G629" s="52">
        <v>-28.25</v>
      </c>
      <c r="H629" s="32" t="s">
        <v>282</v>
      </c>
    </row>
    <row r="630" spans="1:8" ht="18.75">
      <c r="A630" t="s">
        <v>1137</v>
      </c>
      <c r="B630">
        <v>6</v>
      </c>
      <c r="C630">
        <v>2024</v>
      </c>
      <c r="D630" s="54">
        <v>45467</v>
      </c>
      <c r="E630" s="42" t="s">
        <v>160</v>
      </c>
      <c r="F630" s="76" t="s">
        <v>29</v>
      </c>
      <c r="G630" s="52">
        <v>-225.75</v>
      </c>
      <c r="H630" s="32" t="s">
        <v>167</v>
      </c>
    </row>
    <row r="631" spans="1:8" ht="18.75">
      <c r="A631" t="s">
        <v>1138</v>
      </c>
      <c r="B631">
        <v>6</v>
      </c>
      <c r="C631">
        <v>2024</v>
      </c>
      <c r="D631" s="54">
        <v>45468</v>
      </c>
      <c r="E631" s="42" t="s">
        <v>160</v>
      </c>
      <c r="F631" s="76" t="s">
        <v>48</v>
      </c>
      <c r="G631" s="52">
        <v>-4</v>
      </c>
      <c r="H631" s="32" t="s">
        <v>228</v>
      </c>
    </row>
    <row r="632" spans="1:8" ht="18.75">
      <c r="A632" t="s">
        <v>1139</v>
      </c>
      <c r="B632">
        <v>6</v>
      </c>
      <c r="C632">
        <v>2024</v>
      </c>
      <c r="D632" s="54">
        <v>45468</v>
      </c>
      <c r="E632" s="42" t="s">
        <v>160</v>
      </c>
      <c r="F632" s="76" t="s">
        <v>48</v>
      </c>
      <c r="G632" s="52">
        <v>-11.25</v>
      </c>
      <c r="H632" s="32" t="s">
        <v>1140</v>
      </c>
    </row>
    <row r="633" spans="1:8" ht="18.75">
      <c r="A633" t="s">
        <v>1141</v>
      </c>
      <c r="B633">
        <v>6</v>
      </c>
      <c r="C633">
        <v>2024</v>
      </c>
      <c r="D633" s="54">
        <v>45468</v>
      </c>
      <c r="E633" s="42" t="s">
        <v>160</v>
      </c>
      <c r="F633" s="76" t="s">
        <v>43</v>
      </c>
      <c r="G633" s="52">
        <v>-9.0299999999999994</v>
      </c>
      <c r="H633" s="32" t="s">
        <v>163</v>
      </c>
    </row>
    <row r="634" spans="1:8" ht="18.75">
      <c r="A634" t="s">
        <v>1142</v>
      </c>
      <c r="B634">
        <v>6</v>
      </c>
      <c r="C634">
        <v>2024</v>
      </c>
      <c r="D634" s="54">
        <v>45470</v>
      </c>
      <c r="E634" s="42" t="s">
        <v>249</v>
      </c>
      <c r="F634" s="76" t="s">
        <v>42</v>
      </c>
      <c r="G634" s="52">
        <v>-23.72</v>
      </c>
      <c r="H634" s="32" t="s">
        <v>1143</v>
      </c>
    </row>
    <row r="635" spans="1:8" ht="18.75">
      <c r="A635" t="s">
        <v>1144</v>
      </c>
      <c r="B635">
        <v>6</v>
      </c>
      <c r="C635">
        <v>2024</v>
      </c>
      <c r="D635" s="54">
        <v>45471</v>
      </c>
      <c r="E635" s="42" t="s">
        <v>249</v>
      </c>
      <c r="F635" s="76" t="s">
        <v>58</v>
      </c>
      <c r="G635" s="52">
        <v>-15.67</v>
      </c>
      <c r="H635" s="32" t="s">
        <v>282</v>
      </c>
    </row>
    <row r="636" spans="1:8" ht="18.75">
      <c r="A636" t="s">
        <v>1145</v>
      </c>
      <c r="B636">
        <v>6</v>
      </c>
      <c r="C636">
        <v>2024</v>
      </c>
      <c r="D636" s="54">
        <v>45471</v>
      </c>
      <c r="E636" s="42" t="s">
        <v>160</v>
      </c>
      <c r="F636" s="76" t="s">
        <v>33</v>
      </c>
      <c r="G636" s="52">
        <v>-443.25</v>
      </c>
      <c r="H636" s="32" t="s">
        <v>169</v>
      </c>
    </row>
    <row r="637" spans="1:8" ht="18.75">
      <c r="A637" t="s">
        <v>1146</v>
      </c>
      <c r="B637">
        <v>6</v>
      </c>
      <c r="C637">
        <v>2024</v>
      </c>
      <c r="D637" s="54">
        <v>45471</v>
      </c>
      <c r="E637" s="42" t="s">
        <v>160</v>
      </c>
      <c r="F637" s="76" t="s">
        <v>79</v>
      </c>
      <c r="G637" s="52">
        <v>2046.79</v>
      </c>
      <c r="H637" s="32" t="s">
        <v>171</v>
      </c>
    </row>
    <row r="638" spans="1:8" ht="18.75">
      <c r="A638" t="s">
        <v>1147</v>
      </c>
      <c r="B638">
        <v>6</v>
      </c>
      <c r="C638">
        <v>2024</v>
      </c>
      <c r="D638" s="54">
        <v>45471</v>
      </c>
      <c r="E638" s="42" t="s">
        <v>249</v>
      </c>
      <c r="F638" s="76" t="s">
        <v>47</v>
      </c>
      <c r="G638" s="52">
        <v>-404.54</v>
      </c>
      <c r="H638" s="32" t="s">
        <v>1148</v>
      </c>
    </row>
    <row r="639" spans="1:8" ht="18.75">
      <c r="A639" t="s">
        <v>1149</v>
      </c>
      <c r="B639">
        <v>6</v>
      </c>
      <c r="C639">
        <v>2024</v>
      </c>
      <c r="D639" s="54">
        <v>45471</v>
      </c>
      <c r="E639" s="42" t="s">
        <v>249</v>
      </c>
      <c r="F639" s="76" t="s">
        <v>47</v>
      </c>
      <c r="G639" s="52">
        <v>-39.54</v>
      </c>
      <c r="H639" s="32" t="s">
        <v>1150</v>
      </c>
    </row>
    <row r="640" spans="1:8" ht="18.75">
      <c r="A640" t="s">
        <v>1151</v>
      </c>
      <c r="B640">
        <v>7</v>
      </c>
      <c r="C640">
        <v>2024</v>
      </c>
      <c r="D640" s="54">
        <v>45474</v>
      </c>
      <c r="E640" s="42" t="s">
        <v>249</v>
      </c>
      <c r="F640" s="76" t="s">
        <v>42</v>
      </c>
      <c r="G640" s="52">
        <v>10.220000000000001</v>
      </c>
      <c r="H640" s="32" t="s">
        <v>1152</v>
      </c>
    </row>
    <row r="641" spans="1:9" ht="18.75">
      <c r="A641" t="s">
        <v>1153</v>
      </c>
      <c r="B641">
        <v>7</v>
      </c>
      <c r="C641">
        <v>2024</v>
      </c>
      <c r="D641" s="54">
        <v>45474</v>
      </c>
      <c r="E641" s="42" t="s">
        <v>249</v>
      </c>
      <c r="F641" s="76" t="s">
        <v>52</v>
      </c>
      <c r="G641" s="52">
        <v>77.760000000000005</v>
      </c>
      <c r="H641" s="32" t="s">
        <v>402</v>
      </c>
      <c r="I641" s="32" t="s">
        <v>1154</v>
      </c>
    </row>
    <row r="642" spans="1:9" ht="18.75">
      <c r="A642" t="s">
        <v>1155</v>
      </c>
      <c r="B642">
        <v>7</v>
      </c>
      <c r="C642">
        <v>2024</v>
      </c>
      <c r="D642" s="54">
        <v>45481</v>
      </c>
      <c r="E642" s="42" t="s">
        <v>160</v>
      </c>
      <c r="F642" s="76" t="s">
        <v>49</v>
      </c>
      <c r="G642" s="52">
        <v>-50</v>
      </c>
      <c r="H642" s="32" t="s">
        <v>161</v>
      </c>
    </row>
    <row r="643" spans="1:9" ht="18.75">
      <c r="A643" t="s">
        <v>1156</v>
      </c>
      <c r="B643">
        <v>7</v>
      </c>
      <c r="C643">
        <v>2024</v>
      </c>
      <c r="D643" s="54">
        <v>45475</v>
      </c>
      <c r="E643" s="42" t="s">
        <v>249</v>
      </c>
      <c r="F643" s="76" t="s">
        <v>52</v>
      </c>
      <c r="G643" s="52">
        <v>-32.76</v>
      </c>
      <c r="H643" s="32" t="s">
        <v>1157</v>
      </c>
    </row>
    <row r="644" spans="1:9" ht="18.75">
      <c r="A644" t="s">
        <v>1158</v>
      </c>
      <c r="B644">
        <v>7</v>
      </c>
      <c r="C644">
        <v>2024</v>
      </c>
      <c r="D644" s="54">
        <v>45475</v>
      </c>
      <c r="E644" s="42" t="s">
        <v>146</v>
      </c>
      <c r="F644" s="76" t="s">
        <v>48</v>
      </c>
      <c r="G644" s="52">
        <v>2.77</v>
      </c>
      <c r="H644" s="32" t="s">
        <v>175</v>
      </c>
    </row>
    <row r="645" spans="1:9" ht="18.75">
      <c r="A645" t="s">
        <v>1159</v>
      </c>
      <c r="B645">
        <v>7</v>
      </c>
      <c r="C645">
        <v>2024</v>
      </c>
      <c r="D645" s="54">
        <v>45475</v>
      </c>
      <c r="E645" s="42" t="s">
        <v>146</v>
      </c>
      <c r="F645" s="76" t="s">
        <v>79</v>
      </c>
      <c r="G645" s="52">
        <v>2080</v>
      </c>
      <c r="H645" s="32" t="s">
        <v>1160</v>
      </c>
    </row>
    <row r="646" spans="1:9" ht="18.75">
      <c r="A646" t="s">
        <v>1161</v>
      </c>
      <c r="B646">
        <v>7</v>
      </c>
      <c r="C646">
        <v>2024</v>
      </c>
      <c r="D646" s="54">
        <v>45475</v>
      </c>
      <c r="E646" s="42" t="s">
        <v>160</v>
      </c>
      <c r="F646" s="76" t="s">
        <v>79</v>
      </c>
      <c r="G646" s="52">
        <v>-2080</v>
      </c>
      <c r="H646" s="32" t="s">
        <v>1162</v>
      </c>
    </row>
    <row r="647" spans="1:9" ht="18.75">
      <c r="A647" t="s">
        <v>1163</v>
      </c>
      <c r="B647">
        <v>7</v>
      </c>
      <c r="C647">
        <v>2024</v>
      </c>
      <c r="D647" s="54">
        <v>45475</v>
      </c>
      <c r="E647" s="42" t="s">
        <v>249</v>
      </c>
      <c r="F647" s="76" t="s">
        <v>57</v>
      </c>
      <c r="G647" s="52">
        <v>-125.22</v>
      </c>
      <c r="H647" s="32" t="s">
        <v>282</v>
      </c>
    </row>
    <row r="648" spans="1:9" ht="18.75">
      <c r="A648" t="s">
        <v>1164</v>
      </c>
      <c r="B648">
        <v>7</v>
      </c>
      <c r="C648">
        <v>2024</v>
      </c>
      <c r="D648" s="54">
        <v>45475</v>
      </c>
      <c r="E648" s="42" t="s">
        <v>160</v>
      </c>
      <c r="F648" s="76" t="s">
        <v>187</v>
      </c>
      <c r="G648" s="52">
        <v>-450</v>
      </c>
      <c r="H648" s="32" t="s">
        <v>1165</v>
      </c>
    </row>
    <row r="649" spans="1:9" ht="18.75">
      <c r="A649" t="s">
        <v>1166</v>
      </c>
      <c r="B649">
        <v>7</v>
      </c>
      <c r="C649">
        <v>2024</v>
      </c>
      <c r="D649" s="54">
        <v>45475</v>
      </c>
      <c r="E649" s="42" t="s">
        <v>160</v>
      </c>
      <c r="F649" s="76" t="s">
        <v>40</v>
      </c>
      <c r="G649" s="52">
        <v>-100</v>
      </c>
      <c r="H649" s="32" t="s">
        <v>1167</v>
      </c>
    </row>
    <row r="650" spans="1:9" ht="18.75">
      <c r="A650" t="s">
        <v>1168</v>
      </c>
      <c r="B650">
        <v>7</v>
      </c>
      <c r="C650">
        <v>2024</v>
      </c>
      <c r="D650" s="54">
        <v>45475</v>
      </c>
      <c r="E650" s="42" t="s">
        <v>160</v>
      </c>
      <c r="F650" s="76" t="s">
        <v>40</v>
      </c>
      <c r="G650" s="52">
        <v>-100</v>
      </c>
      <c r="H650" s="32" t="s">
        <v>1169</v>
      </c>
    </row>
    <row r="651" spans="1:9" ht="18.75">
      <c r="A651" t="s">
        <v>1170</v>
      </c>
      <c r="B651">
        <v>7</v>
      </c>
      <c r="C651">
        <v>2024</v>
      </c>
      <c r="D651" s="54">
        <v>45477</v>
      </c>
      <c r="E651" s="42" t="s">
        <v>160</v>
      </c>
      <c r="F651" s="76" t="s">
        <v>79</v>
      </c>
      <c r="G651" s="52">
        <v>1282.33</v>
      </c>
      <c r="H651" s="32" t="s">
        <v>190</v>
      </c>
    </row>
    <row r="652" spans="1:9" ht="18.75">
      <c r="A652" t="s">
        <v>1171</v>
      </c>
      <c r="B652">
        <v>7</v>
      </c>
      <c r="C652">
        <v>2024</v>
      </c>
      <c r="D652" s="54">
        <v>45477</v>
      </c>
      <c r="E652" s="42" t="s">
        <v>249</v>
      </c>
      <c r="F652" s="76" t="s">
        <v>57</v>
      </c>
      <c r="G652" s="52">
        <v>-16.989999999999998</v>
      </c>
      <c r="H652" s="32" t="s">
        <v>1172</v>
      </c>
    </row>
    <row r="653" spans="1:9" ht="18.75">
      <c r="A653" t="s">
        <v>1173</v>
      </c>
      <c r="B653">
        <v>7</v>
      </c>
      <c r="C653">
        <v>2024</v>
      </c>
      <c r="D653" s="54">
        <v>45477</v>
      </c>
      <c r="E653" s="42" t="s">
        <v>249</v>
      </c>
      <c r="F653" s="76" t="s">
        <v>47</v>
      </c>
      <c r="G653" s="52">
        <v>-56.48</v>
      </c>
      <c r="H653" s="32" t="s">
        <v>1174</v>
      </c>
      <c r="I653" s="32" t="s">
        <v>1175</v>
      </c>
    </row>
    <row r="654" spans="1:9" ht="18.75">
      <c r="B654">
        <v>7</v>
      </c>
      <c r="C654">
        <v>2024</v>
      </c>
      <c r="D654" s="54">
        <v>45478</v>
      </c>
      <c r="F654" s="76" t="s">
        <v>34</v>
      </c>
      <c r="G654" s="52">
        <v>-201.99</v>
      </c>
      <c r="H654" s="32" t="s">
        <v>1176</v>
      </c>
    </row>
    <row r="655" spans="1:9" ht="18.75">
      <c r="B655">
        <v>7</v>
      </c>
      <c r="C655">
        <v>2024</v>
      </c>
      <c r="D655" s="54">
        <v>45478</v>
      </c>
      <c r="F655" s="76" t="s">
        <v>31</v>
      </c>
      <c r="G655" s="52">
        <v>-332.12</v>
      </c>
      <c r="H655" s="32" t="s">
        <v>1176</v>
      </c>
    </row>
    <row r="656" spans="1:9" ht="18.75">
      <c r="A656" t="s">
        <v>1177</v>
      </c>
      <c r="B656">
        <v>7</v>
      </c>
      <c r="C656">
        <v>2024</v>
      </c>
      <c r="D656" s="54">
        <v>45478</v>
      </c>
      <c r="E656" s="42" t="s">
        <v>249</v>
      </c>
      <c r="F656" s="76" t="s">
        <v>58</v>
      </c>
      <c r="G656" s="52">
        <v>-12.98</v>
      </c>
      <c r="H656" s="32" t="s">
        <v>1178</v>
      </c>
    </row>
    <row r="657" spans="1:9" ht="18.75">
      <c r="A657" t="s">
        <v>1179</v>
      </c>
      <c r="B657">
        <v>7</v>
      </c>
      <c r="C657">
        <v>2024</v>
      </c>
      <c r="D657" s="54">
        <v>45478</v>
      </c>
      <c r="E657" s="42" t="s">
        <v>249</v>
      </c>
      <c r="F657" s="76" t="s">
        <v>58</v>
      </c>
      <c r="G657" s="52">
        <v>-8.48</v>
      </c>
      <c r="H657" s="32" t="s">
        <v>308</v>
      </c>
    </row>
    <row r="658" spans="1:9" ht="18.75">
      <c r="B658">
        <v>7</v>
      </c>
      <c r="C658">
        <v>2024</v>
      </c>
      <c r="D658" s="54">
        <v>45478</v>
      </c>
      <c r="F658" s="76" t="s">
        <v>58</v>
      </c>
      <c r="G658" s="99">
        <v>-164.33</v>
      </c>
      <c r="H658" s="32" t="s">
        <v>1176</v>
      </c>
      <c r="I658" s="32" t="s">
        <v>1180</v>
      </c>
    </row>
    <row r="659" spans="1:9" ht="18.75">
      <c r="B659">
        <v>7</v>
      </c>
      <c r="C659">
        <v>2024</v>
      </c>
      <c r="D659" s="54">
        <v>45478</v>
      </c>
      <c r="F659" s="76" t="s">
        <v>53</v>
      </c>
      <c r="G659" s="52">
        <v>-439.81</v>
      </c>
      <c r="H659" s="32" t="s">
        <v>1176</v>
      </c>
    </row>
    <row r="660" spans="1:9" ht="18.75">
      <c r="B660">
        <v>7</v>
      </c>
      <c r="C660">
        <v>2024</v>
      </c>
      <c r="D660" s="54">
        <v>45478</v>
      </c>
      <c r="F660" s="76" t="s">
        <v>52</v>
      </c>
      <c r="G660" s="52">
        <v>60</v>
      </c>
      <c r="H660" s="32" t="s">
        <v>1181</v>
      </c>
    </row>
    <row r="661" spans="1:9" ht="18.75">
      <c r="B661">
        <v>7</v>
      </c>
      <c r="C661">
        <v>2024</v>
      </c>
      <c r="D661" s="54">
        <v>45478</v>
      </c>
      <c r="F661" s="76" t="s">
        <v>46</v>
      </c>
      <c r="G661" s="52">
        <v>-60</v>
      </c>
      <c r="H661" s="32" t="s">
        <v>1181</v>
      </c>
    </row>
    <row r="662" spans="1:9" ht="18.75">
      <c r="A662" t="s">
        <v>1182</v>
      </c>
      <c r="B662">
        <v>7</v>
      </c>
      <c r="C662">
        <v>2024</v>
      </c>
      <c r="D662" s="54">
        <v>45478</v>
      </c>
      <c r="E662" s="42" t="s">
        <v>160</v>
      </c>
      <c r="F662" s="76" t="s">
        <v>30</v>
      </c>
      <c r="G662" s="52">
        <v>-214.82</v>
      </c>
      <c r="H662" s="32" t="s">
        <v>196</v>
      </c>
    </row>
    <row r="663" spans="1:9" ht="18.75">
      <c r="B663">
        <v>7</v>
      </c>
      <c r="C663">
        <v>2024</v>
      </c>
      <c r="D663" s="54">
        <v>45478</v>
      </c>
      <c r="F663" s="76" t="s">
        <v>59</v>
      </c>
      <c r="G663" s="99">
        <v>439.81</v>
      </c>
      <c r="H663" s="32" t="s">
        <v>1176</v>
      </c>
    </row>
    <row r="664" spans="1:9" ht="18.75">
      <c r="B664">
        <v>7</v>
      </c>
      <c r="C664">
        <v>2024</v>
      </c>
      <c r="D664" s="54">
        <v>45478</v>
      </c>
      <c r="F664" s="76" t="s">
        <v>59</v>
      </c>
      <c r="G664" s="99">
        <v>332.12</v>
      </c>
      <c r="H664" s="32" t="s">
        <v>1176</v>
      </c>
    </row>
    <row r="665" spans="1:9" ht="18.75">
      <c r="B665">
        <v>7</v>
      </c>
      <c r="C665">
        <v>2024</v>
      </c>
      <c r="D665" s="54">
        <v>45478</v>
      </c>
      <c r="F665" s="76" t="s">
        <v>59</v>
      </c>
      <c r="G665" s="99">
        <v>201.99</v>
      </c>
      <c r="H665" s="32" t="s">
        <v>1176</v>
      </c>
    </row>
    <row r="666" spans="1:9" ht="18.75">
      <c r="B666">
        <v>7</v>
      </c>
      <c r="C666">
        <v>2024</v>
      </c>
      <c r="D666" s="54">
        <v>45478</v>
      </c>
      <c r="F666" s="76" t="s">
        <v>59</v>
      </c>
      <c r="G666" s="99">
        <v>164.33</v>
      </c>
      <c r="H666" s="32" t="s">
        <v>1176</v>
      </c>
      <c r="I666" s="32" t="s">
        <v>1180</v>
      </c>
    </row>
    <row r="667" spans="1:9" ht="18.75">
      <c r="B667">
        <v>7</v>
      </c>
      <c r="C667">
        <v>2024</v>
      </c>
      <c r="D667" s="54">
        <v>45478</v>
      </c>
      <c r="F667" s="76" t="s">
        <v>59</v>
      </c>
      <c r="G667" s="52">
        <v>140</v>
      </c>
      <c r="H667" s="32" t="s">
        <v>1176</v>
      </c>
    </row>
    <row r="668" spans="1:9" ht="18.75">
      <c r="B668">
        <v>7</v>
      </c>
      <c r="C668">
        <v>2024</v>
      </c>
      <c r="D668" s="54">
        <v>45478</v>
      </c>
      <c r="F668" s="76" t="s">
        <v>59</v>
      </c>
      <c r="G668" s="52">
        <v>130</v>
      </c>
      <c r="H668" s="32" t="s">
        <v>1176</v>
      </c>
    </row>
    <row r="669" spans="1:9" ht="18.75">
      <c r="B669">
        <v>7</v>
      </c>
      <c r="C669">
        <v>2024</v>
      </c>
      <c r="D669" s="54">
        <v>45478</v>
      </c>
      <c r="F669" s="76" t="s">
        <v>59</v>
      </c>
      <c r="G669" s="99">
        <v>50</v>
      </c>
      <c r="H669" s="32" t="s">
        <v>1176</v>
      </c>
    </row>
    <row r="670" spans="1:9" ht="18.75">
      <c r="B670">
        <v>7</v>
      </c>
      <c r="C670">
        <v>2024</v>
      </c>
      <c r="D670" s="54">
        <v>45478</v>
      </c>
      <c r="F670" s="76" t="s">
        <v>59</v>
      </c>
      <c r="G670" s="52">
        <v>50</v>
      </c>
      <c r="H670" s="32" t="s">
        <v>1176</v>
      </c>
    </row>
    <row r="671" spans="1:9" ht="18.75">
      <c r="B671">
        <v>7</v>
      </c>
      <c r="C671">
        <v>2024</v>
      </c>
      <c r="D671" s="54">
        <v>45478</v>
      </c>
      <c r="F671" s="76" t="s">
        <v>41</v>
      </c>
      <c r="G671" s="99">
        <v>-50</v>
      </c>
      <c r="H671" s="32" t="s">
        <v>1176</v>
      </c>
    </row>
    <row r="672" spans="1:9" ht="18.75">
      <c r="B672">
        <v>7</v>
      </c>
      <c r="C672">
        <v>2024</v>
      </c>
      <c r="D672" s="54">
        <v>45478</v>
      </c>
      <c r="F672" s="76" t="s">
        <v>44</v>
      </c>
      <c r="G672" s="52">
        <v>-140</v>
      </c>
      <c r="H672" s="32" t="s">
        <v>1176</v>
      </c>
    </row>
    <row r="673" spans="1:9" ht="18.75">
      <c r="B673">
        <v>7</v>
      </c>
      <c r="C673">
        <v>2024</v>
      </c>
      <c r="D673" s="54">
        <v>45478</v>
      </c>
      <c r="E673" s="42" t="s">
        <v>160</v>
      </c>
      <c r="F673" s="76" t="s">
        <v>32</v>
      </c>
      <c r="G673" s="52">
        <f>-633.01-181.18</f>
        <v>-814.19</v>
      </c>
      <c r="H673" s="32" t="s">
        <v>1183</v>
      </c>
    </row>
    <row r="674" spans="1:9" ht="18.75">
      <c r="B674">
        <v>7</v>
      </c>
      <c r="C674">
        <v>2024</v>
      </c>
      <c r="D674" s="54">
        <v>45478</v>
      </c>
      <c r="F674" s="76" t="s">
        <v>62</v>
      </c>
      <c r="G674" s="52">
        <v>-50</v>
      </c>
      <c r="H674" s="32" t="s">
        <v>1176</v>
      </c>
    </row>
    <row r="675" spans="1:9" ht="18.75">
      <c r="B675">
        <v>7</v>
      </c>
      <c r="C675">
        <v>2024</v>
      </c>
      <c r="D675" s="54">
        <v>45478</v>
      </c>
      <c r="F675" s="76" t="s">
        <v>50</v>
      </c>
      <c r="G675" s="52">
        <v>-130</v>
      </c>
      <c r="H675" s="32" t="s">
        <v>1176</v>
      </c>
    </row>
    <row r="676" spans="1:9" ht="18.75">
      <c r="A676" t="s">
        <v>1184</v>
      </c>
      <c r="B676">
        <v>7</v>
      </c>
      <c r="C676">
        <v>2024</v>
      </c>
      <c r="D676" s="54">
        <v>45479</v>
      </c>
      <c r="E676" s="42" t="s">
        <v>249</v>
      </c>
      <c r="F676" s="76" t="s">
        <v>46</v>
      </c>
      <c r="G676" s="52">
        <v>-20</v>
      </c>
      <c r="H676" s="32" t="s">
        <v>268</v>
      </c>
    </row>
    <row r="677" spans="1:9" ht="18.75">
      <c r="A677" s="77" t="s">
        <v>1185</v>
      </c>
      <c r="B677">
        <v>7</v>
      </c>
      <c r="C677">
        <v>2024</v>
      </c>
      <c r="D677" s="54">
        <v>45479</v>
      </c>
      <c r="E677" s="42" t="s">
        <v>249</v>
      </c>
      <c r="F677" s="76" t="s">
        <v>57</v>
      </c>
      <c r="G677" s="52">
        <v>-42.65</v>
      </c>
      <c r="H677" s="32" t="s">
        <v>351</v>
      </c>
    </row>
    <row r="678" spans="1:9" ht="18.75">
      <c r="A678" t="s">
        <v>1186</v>
      </c>
      <c r="B678">
        <v>7</v>
      </c>
      <c r="C678">
        <v>2024</v>
      </c>
      <c r="D678" s="54">
        <v>45479</v>
      </c>
      <c r="E678" s="42" t="s">
        <v>249</v>
      </c>
      <c r="F678" s="76" t="s">
        <v>57</v>
      </c>
      <c r="G678" s="52">
        <v>-30.98</v>
      </c>
      <c r="H678" s="32" t="s">
        <v>1172</v>
      </c>
    </row>
    <row r="679" spans="1:9" ht="18.75">
      <c r="A679" t="s">
        <v>1187</v>
      </c>
      <c r="B679">
        <v>7</v>
      </c>
      <c r="C679">
        <v>2024</v>
      </c>
      <c r="D679" s="54">
        <v>45479</v>
      </c>
      <c r="E679" s="42" t="s">
        <v>249</v>
      </c>
      <c r="F679" s="76" t="s">
        <v>54</v>
      </c>
      <c r="G679" s="52">
        <v>-40</v>
      </c>
      <c r="H679" s="32" t="s">
        <v>1188</v>
      </c>
    </row>
    <row r="680" spans="1:9" ht="18.75">
      <c r="A680" t="s">
        <v>1189</v>
      </c>
      <c r="B680">
        <v>7</v>
      </c>
      <c r="C680">
        <v>2024</v>
      </c>
      <c r="D680" s="54">
        <v>45479</v>
      </c>
      <c r="E680" s="42" t="s">
        <v>249</v>
      </c>
      <c r="F680" s="76" t="s">
        <v>50</v>
      </c>
      <c r="G680" s="52">
        <v>-40.049999999999997</v>
      </c>
      <c r="H680" s="32" t="s">
        <v>724</v>
      </c>
    </row>
    <row r="681" spans="1:9" ht="18.75">
      <c r="A681" t="s">
        <v>1190</v>
      </c>
      <c r="B681">
        <v>7</v>
      </c>
      <c r="C681">
        <v>2024</v>
      </c>
      <c r="D681" s="54">
        <v>45480</v>
      </c>
      <c r="E681" s="42" t="s">
        <v>249</v>
      </c>
      <c r="F681" s="76" t="s">
        <v>42</v>
      </c>
      <c r="G681" s="52">
        <v>-25.98</v>
      </c>
      <c r="H681" s="32" t="s">
        <v>278</v>
      </c>
    </row>
    <row r="682" spans="1:9" ht="18.75">
      <c r="A682" t="s">
        <v>1191</v>
      </c>
      <c r="B682">
        <v>7</v>
      </c>
      <c r="C682">
        <v>2024</v>
      </c>
      <c r="D682" s="54">
        <v>45480</v>
      </c>
      <c r="E682" s="42" t="s">
        <v>249</v>
      </c>
      <c r="F682" s="76" t="s">
        <v>65</v>
      </c>
      <c r="G682" s="52">
        <v>-267.99</v>
      </c>
      <c r="H682" s="32" t="s">
        <v>1192</v>
      </c>
    </row>
    <row r="683" spans="1:9" ht="18.75">
      <c r="A683" t="s">
        <v>1193</v>
      </c>
      <c r="B683">
        <v>7</v>
      </c>
      <c r="C683">
        <v>2024</v>
      </c>
      <c r="D683" s="54">
        <v>45495</v>
      </c>
      <c r="E683" s="42" t="s">
        <v>160</v>
      </c>
      <c r="F683" s="76" t="s">
        <v>49</v>
      </c>
      <c r="G683" s="52">
        <v>-50</v>
      </c>
      <c r="H683" s="32" t="s">
        <v>161</v>
      </c>
    </row>
    <row r="684" spans="1:9" ht="18.75">
      <c r="A684" t="s">
        <v>1194</v>
      </c>
      <c r="B684">
        <v>7</v>
      </c>
      <c r="C684">
        <v>2024</v>
      </c>
      <c r="D684" s="54">
        <v>45481</v>
      </c>
      <c r="E684" s="42" t="s">
        <v>160</v>
      </c>
      <c r="F684" s="76" t="s">
        <v>51</v>
      </c>
      <c r="G684" s="52">
        <v>-125.87</v>
      </c>
      <c r="H684" s="32" t="s">
        <v>199</v>
      </c>
    </row>
    <row r="685" spans="1:9" ht="18.75">
      <c r="A685" t="s">
        <v>1195</v>
      </c>
      <c r="B685">
        <v>7</v>
      </c>
      <c r="C685">
        <v>2024</v>
      </c>
      <c r="D685" s="54">
        <v>45481</v>
      </c>
      <c r="E685" s="42" t="s">
        <v>249</v>
      </c>
      <c r="F685" s="76" t="s">
        <v>52</v>
      </c>
      <c r="G685" s="52">
        <v>-52.96</v>
      </c>
      <c r="H685" s="32" t="s">
        <v>282</v>
      </c>
    </row>
    <row r="686" spans="1:9" ht="18.75">
      <c r="A686" t="s">
        <v>1196</v>
      </c>
      <c r="B686">
        <v>7</v>
      </c>
      <c r="C686">
        <v>2024</v>
      </c>
      <c r="D686" s="54">
        <v>45481</v>
      </c>
      <c r="E686" s="42" t="s">
        <v>160</v>
      </c>
      <c r="F686" s="76" t="s">
        <v>79</v>
      </c>
      <c r="G686" s="52">
        <v>2156.7199999999998</v>
      </c>
      <c r="H686" s="32" t="s">
        <v>1197</v>
      </c>
    </row>
    <row r="687" spans="1:9" ht="18.75">
      <c r="A687" t="s">
        <v>1198</v>
      </c>
      <c r="B687">
        <v>7</v>
      </c>
      <c r="C687">
        <v>2024</v>
      </c>
      <c r="D687" s="54">
        <v>45481</v>
      </c>
      <c r="E687" s="42" t="s">
        <v>146</v>
      </c>
      <c r="F687" s="76" t="s">
        <v>79</v>
      </c>
      <c r="G687" s="52">
        <v>164.33</v>
      </c>
      <c r="H687" s="32" t="s">
        <v>1199</v>
      </c>
    </row>
    <row r="688" spans="1:9" ht="18.75">
      <c r="A688" t="s">
        <v>1200</v>
      </c>
      <c r="B688">
        <v>7</v>
      </c>
      <c r="C688">
        <v>2024</v>
      </c>
      <c r="D688" s="54">
        <v>45481</v>
      </c>
      <c r="E688" s="42" t="s">
        <v>160</v>
      </c>
      <c r="F688" s="76" t="s">
        <v>79</v>
      </c>
      <c r="G688" s="52">
        <v>-633.01</v>
      </c>
      <c r="H688" s="32" t="s">
        <v>1201</v>
      </c>
      <c r="I688" s="32" t="s">
        <v>1202</v>
      </c>
    </row>
    <row r="689" spans="1:9" ht="18.75">
      <c r="A689" t="s">
        <v>1203</v>
      </c>
      <c r="B689">
        <v>7</v>
      </c>
      <c r="C689">
        <v>2024</v>
      </c>
      <c r="D689" s="54">
        <v>45481</v>
      </c>
      <c r="E689" s="42" t="s">
        <v>160</v>
      </c>
      <c r="F689" s="76" t="s">
        <v>79</v>
      </c>
      <c r="G689" s="52">
        <v>-181.18</v>
      </c>
      <c r="H689" s="32" t="s">
        <v>1204</v>
      </c>
      <c r="I689" s="32" t="s">
        <v>1202</v>
      </c>
    </row>
    <row r="690" spans="1:9" ht="18.75">
      <c r="A690" t="s">
        <v>1205</v>
      </c>
      <c r="B690">
        <v>7</v>
      </c>
      <c r="C690">
        <v>2024</v>
      </c>
      <c r="D690" s="54">
        <v>45481</v>
      </c>
      <c r="E690" s="42" t="s">
        <v>146</v>
      </c>
      <c r="F690" s="76" t="s">
        <v>79</v>
      </c>
      <c r="G690" s="52">
        <v>-2156.7199999999998</v>
      </c>
      <c r="H690" s="32" t="s">
        <v>1206</v>
      </c>
    </row>
    <row r="691" spans="1:9" ht="18.75">
      <c r="A691" t="s">
        <v>1207</v>
      </c>
      <c r="B691">
        <v>7</v>
      </c>
      <c r="C691">
        <v>2024</v>
      </c>
      <c r="D691" s="54">
        <v>45481</v>
      </c>
      <c r="E691" s="42" t="s">
        <v>160</v>
      </c>
      <c r="F691" s="76" t="s">
        <v>79</v>
      </c>
      <c r="G691" s="52">
        <v>-164.33</v>
      </c>
      <c r="H691" s="32" t="s">
        <v>1208</v>
      </c>
    </row>
    <row r="692" spans="1:9" ht="18.75">
      <c r="A692" t="s">
        <v>1209</v>
      </c>
      <c r="B692">
        <v>7</v>
      </c>
      <c r="C692">
        <v>2024</v>
      </c>
      <c r="D692" s="54">
        <v>45481</v>
      </c>
      <c r="E692" s="42" t="s">
        <v>249</v>
      </c>
      <c r="F692" s="76" t="s">
        <v>57</v>
      </c>
      <c r="G692" s="52">
        <v>-228</v>
      </c>
      <c r="H692" s="32" t="s">
        <v>282</v>
      </c>
    </row>
    <row r="693" spans="1:9" ht="18.75">
      <c r="A693" t="s">
        <v>1210</v>
      </c>
      <c r="B693">
        <v>7</v>
      </c>
      <c r="C693">
        <v>2024</v>
      </c>
      <c r="D693" s="54">
        <v>45481</v>
      </c>
      <c r="E693" s="42" t="s">
        <v>146</v>
      </c>
      <c r="F693" s="76" t="s">
        <v>47</v>
      </c>
      <c r="G693" s="52">
        <v>-30</v>
      </c>
      <c r="H693" s="32" t="s">
        <v>1211</v>
      </c>
      <c r="I693" s="32" t="s">
        <v>1212</v>
      </c>
    </row>
    <row r="694" spans="1:9" ht="18.75">
      <c r="A694" t="s">
        <v>1213</v>
      </c>
      <c r="B694">
        <v>7</v>
      </c>
      <c r="C694">
        <v>2024</v>
      </c>
      <c r="D694" s="54">
        <v>45482</v>
      </c>
      <c r="E694" s="42" t="s">
        <v>160</v>
      </c>
      <c r="F694" s="76" t="s">
        <v>43</v>
      </c>
      <c r="G694" s="52">
        <v>-9.0299999999999994</v>
      </c>
      <c r="H694" s="32" t="s">
        <v>163</v>
      </c>
    </row>
    <row r="695" spans="1:9" ht="18.75">
      <c r="A695" t="s">
        <v>1214</v>
      </c>
      <c r="B695">
        <v>7</v>
      </c>
      <c r="C695">
        <v>2024</v>
      </c>
      <c r="D695" s="54">
        <v>45482</v>
      </c>
      <c r="E695" s="42" t="s">
        <v>249</v>
      </c>
      <c r="F695" s="76" t="s">
        <v>59</v>
      </c>
      <c r="G695" s="52">
        <v>-52.54</v>
      </c>
      <c r="H695" s="32" t="s">
        <v>359</v>
      </c>
    </row>
    <row r="696" spans="1:9" ht="18.75">
      <c r="A696" t="s">
        <v>1215</v>
      </c>
      <c r="B696">
        <v>7</v>
      </c>
      <c r="C696">
        <v>2024</v>
      </c>
      <c r="D696" s="54">
        <v>45483</v>
      </c>
      <c r="E696" s="42" t="s">
        <v>160</v>
      </c>
      <c r="F696" s="76" t="s">
        <v>36</v>
      </c>
      <c r="G696" s="52">
        <v>-60.97</v>
      </c>
      <c r="H696" s="32" t="s">
        <v>1216</v>
      </c>
    </row>
    <row r="697" spans="1:9" ht="18.75">
      <c r="A697" t="s">
        <v>1217</v>
      </c>
      <c r="B697">
        <v>7</v>
      </c>
      <c r="C697">
        <v>2024</v>
      </c>
      <c r="D697" s="54">
        <v>45483</v>
      </c>
      <c r="E697" s="42" t="s">
        <v>249</v>
      </c>
      <c r="F697" s="76" t="s">
        <v>35</v>
      </c>
      <c r="G697" s="52">
        <v>-88.14</v>
      </c>
      <c r="H697" s="32" t="s">
        <v>285</v>
      </c>
    </row>
    <row r="698" spans="1:9" ht="18.75">
      <c r="A698" s="77" t="s">
        <v>1218</v>
      </c>
      <c r="B698">
        <v>7</v>
      </c>
      <c r="C698">
        <v>2024</v>
      </c>
      <c r="D698" s="54">
        <v>45483</v>
      </c>
      <c r="E698" s="42" t="s">
        <v>249</v>
      </c>
      <c r="F698" s="76" t="s">
        <v>57</v>
      </c>
      <c r="G698" s="52">
        <v>-3</v>
      </c>
      <c r="H698" s="32" t="s">
        <v>1219</v>
      </c>
    </row>
    <row r="699" spans="1:9" ht="18.75">
      <c r="A699" t="s">
        <v>1220</v>
      </c>
      <c r="B699">
        <v>7</v>
      </c>
      <c r="C699">
        <v>2024</v>
      </c>
      <c r="D699" s="54">
        <v>45484</v>
      </c>
      <c r="E699" s="42" t="s">
        <v>249</v>
      </c>
      <c r="F699" s="76" t="s">
        <v>59</v>
      </c>
      <c r="G699" s="52">
        <v>-18.3</v>
      </c>
      <c r="H699" s="32" t="s">
        <v>1221</v>
      </c>
    </row>
    <row r="700" spans="1:9" ht="18.75">
      <c r="A700" t="s">
        <v>1222</v>
      </c>
      <c r="B700">
        <v>7</v>
      </c>
      <c r="C700">
        <v>2024</v>
      </c>
      <c r="D700" s="54">
        <v>45485</v>
      </c>
      <c r="E700" s="42" t="s">
        <v>160</v>
      </c>
      <c r="F700" s="76" t="s">
        <v>33</v>
      </c>
      <c r="G700" s="52">
        <v>-443.25</v>
      </c>
      <c r="H700" s="32" t="s">
        <v>169</v>
      </c>
    </row>
    <row r="701" spans="1:9" ht="18.75">
      <c r="A701" t="s">
        <v>1223</v>
      </c>
      <c r="B701">
        <v>7</v>
      </c>
      <c r="C701">
        <v>2024</v>
      </c>
      <c r="D701" s="54">
        <v>45485</v>
      </c>
      <c r="E701" s="42" t="s">
        <v>160</v>
      </c>
      <c r="F701" s="76" t="s">
        <v>79</v>
      </c>
      <c r="G701" s="52">
        <v>2046.79</v>
      </c>
      <c r="H701" s="32" t="s">
        <v>171</v>
      </c>
    </row>
    <row r="702" spans="1:9" ht="18.75">
      <c r="A702" t="s">
        <v>1224</v>
      </c>
      <c r="B702">
        <v>7</v>
      </c>
      <c r="C702">
        <v>2024</v>
      </c>
      <c r="D702" s="54">
        <v>45486</v>
      </c>
      <c r="E702" s="42" t="s">
        <v>249</v>
      </c>
      <c r="F702" s="76" t="s">
        <v>65</v>
      </c>
      <c r="G702" s="52">
        <v>-305.08999999999997</v>
      </c>
      <c r="H702" s="32" t="s">
        <v>1225</v>
      </c>
    </row>
    <row r="703" spans="1:9" ht="18.75">
      <c r="A703" t="s">
        <v>1226</v>
      </c>
      <c r="B703">
        <v>7</v>
      </c>
      <c r="C703">
        <v>2024</v>
      </c>
      <c r="D703" s="54">
        <v>45486</v>
      </c>
      <c r="E703" s="42" t="s">
        <v>249</v>
      </c>
      <c r="F703" s="76" t="s">
        <v>41</v>
      </c>
      <c r="G703" s="52">
        <v>-93.54</v>
      </c>
      <c r="H703" s="32" t="s">
        <v>1227</v>
      </c>
    </row>
    <row r="704" spans="1:9" ht="18.75">
      <c r="A704" t="s">
        <v>1228</v>
      </c>
      <c r="B704">
        <v>7</v>
      </c>
      <c r="C704">
        <v>2024</v>
      </c>
      <c r="D704" s="54">
        <v>45486</v>
      </c>
      <c r="E704" s="42" t="s">
        <v>249</v>
      </c>
      <c r="F704" s="76" t="s">
        <v>32</v>
      </c>
      <c r="G704" s="52">
        <v>-53.32</v>
      </c>
      <c r="H704" s="32" t="s">
        <v>554</v>
      </c>
    </row>
    <row r="705" spans="1:9" ht="18.75">
      <c r="A705" t="s">
        <v>1229</v>
      </c>
      <c r="B705">
        <v>7</v>
      </c>
      <c r="C705">
        <v>2024</v>
      </c>
      <c r="D705" s="54">
        <v>45486</v>
      </c>
      <c r="E705" s="42" t="s">
        <v>249</v>
      </c>
      <c r="F705" s="76" t="s">
        <v>50</v>
      </c>
      <c r="G705" s="52">
        <v>-58.1</v>
      </c>
      <c r="H705" s="32" t="s">
        <v>1230</v>
      </c>
    </row>
    <row r="706" spans="1:9" ht="18.75">
      <c r="A706" t="s">
        <v>1231</v>
      </c>
      <c r="B706">
        <v>7</v>
      </c>
      <c r="C706">
        <v>2024</v>
      </c>
      <c r="D706" s="54">
        <v>45487</v>
      </c>
      <c r="E706" s="42" t="s">
        <v>249</v>
      </c>
      <c r="F706" s="76" t="s">
        <v>65</v>
      </c>
      <c r="G706" s="52">
        <v>-271.2</v>
      </c>
      <c r="H706" s="32" t="s">
        <v>1232</v>
      </c>
    </row>
    <row r="707" spans="1:9" ht="18.75">
      <c r="A707" t="s">
        <v>1233</v>
      </c>
      <c r="B707">
        <v>7</v>
      </c>
      <c r="C707">
        <v>2024</v>
      </c>
      <c r="D707" s="54">
        <v>45487</v>
      </c>
      <c r="E707" s="42" t="s">
        <v>249</v>
      </c>
      <c r="F707" s="76" t="s">
        <v>65</v>
      </c>
      <c r="G707" s="52">
        <v>-73.38</v>
      </c>
      <c r="H707" s="32" t="s">
        <v>258</v>
      </c>
    </row>
    <row r="708" spans="1:9" ht="18.75">
      <c r="A708" t="s">
        <v>1234</v>
      </c>
      <c r="B708">
        <v>7</v>
      </c>
      <c r="C708">
        <v>2024</v>
      </c>
      <c r="D708" s="54">
        <v>45487</v>
      </c>
      <c r="E708" s="42" t="s">
        <v>249</v>
      </c>
      <c r="F708" s="76" t="s">
        <v>57</v>
      </c>
      <c r="G708" s="52">
        <v>-49.02</v>
      </c>
      <c r="H708" s="32" t="s">
        <v>1235</v>
      </c>
    </row>
    <row r="709" spans="1:9" ht="18.75">
      <c r="A709" t="s">
        <v>1236</v>
      </c>
      <c r="B709">
        <v>7</v>
      </c>
      <c r="C709">
        <v>2024</v>
      </c>
      <c r="D709" s="54">
        <v>45487</v>
      </c>
      <c r="E709" s="42" t="s">
        <v>249</v>
      </c>
      <c r="F709" s="76" t="s">
        <v>54</v>
      </c>
      <c r="G709" s="52">
        <v>-45.2</v>
      </c>
      <c r="H709" s="32" t="s">
        <v>1237</v>
      </c>
    </row>
    <row r="710" spans="1:9" ht="18.75">
      <c r="A710" t="s">
        <v>1238</v>
      </c>
      <c r="B710">
        <v>7</v>
      </c>
      <c r="C710">
        <v>2024</v>
      </c>
      <c r="D710" s="54">
        <v>45488</v>
      </c>
      <c r="E710" s="42" t="s">
        <v>160</v>
      </c>
      <c r="F710" s="76" t="s">
        <v>64</v>
      </c>
      <c r="G710" s="52">
        <v>-294</v>
      </c>
      <c r="H710" s="32" t="s">
        <v>208</v>
      </c>
    </row>
    <row r="711" spans="1:9" ht="18.75">
      <c r="A711" t="s">
        <v>1239</v>
      </c>
      <c r="B711">
        <v>7</v>
      </c>
      <c r="C711">
        <v>2024</v>
      </c>
      <c r="D711" s="54">
        <v>45488</v>
      </c>
      <c r="E711" s="42" t="s">
        <v>146</v>
      </c>
      <c r="F711" s="76" t="s">
        <v>47</v>
      </c>
      <c r="G711" s="52">
        <v>-60</v>
      </c>
      <c r="H711" s="32" t="s">
        <v>1240</v>
      </c>
      <c r="I711" s="32" t="s">
        <v>1241</v>
      </c>
    </row>
    <row r="712" spans="1:9" ht="18.75">
      <c r="A712" t="s">
        <v>1242</v>
      </c>
      <c r="B712">
        <v>7</v>
      </c>
      <c r="C712">
        <v>2024</v>
      </c>
      <c r="D712" s="54">
        <v>45489</v>
      </c>
      <c r="E712" s="42" t="s">
        <v>160</v>
      </c>
      <c r="F712" s="76" t="s">
        <v>51</v>
      </c>
      <c r="G712" s="52">
        <v>-125.57</v>
      </c>
      <c r="H712" s="32" t="s">
        <v>210</v>
      </c>
    </row>
    <row r="713" spans="1:9" ht="18.75">
      <c r="A713" t="s">
        <v>1243</v>
      </c>
      <c r="B713">
        <v>7</v>
      </c>
      <c r="C713">
        <v>2024</v>
      </c>
      <c r="D713" s="54">
        <v>45489</v>
      </c>
      <c r="E713" s="42" t="s">
        <v>249</v>
      </c>
      <c r="F713" s="76" t="s">
        <v>39</v>
      </c>
      <c r="G713" s="52">
        <v>-104.62</v>
      </c>
      <c r="H713" s="32" t="s">
        <v>304</v>
      </c>
    </row>
    <row r="714" spans="1:9" ht="18.75">
      <c r="A714" t="s">
        <v>1244</v>
      </c>
      <c r="B714">
        <v>7</v>
      </c>
      <c r="C714">
        <v>2024</v>
      </c>
      <c r="D714" s="54">
        <v>45489</v>
      </c>
      <c r="E714" s="42" t="s">
        <v>249</v>
      </c>
      <c r="F714" s="76" t="s">
        <v>65</v>
      </c>
      <c r="G714" s="52">
        <v>-28.24</v>
      </c>
      <c r="H714" s="32" t="s">
        <v>601</v>
      </c>
    </row>
    <row r="715" spans="1:9" ht="18.75">
      <c r="A715" t="s">
        <v>1245</v>
      </c>
      <c r="B715">
        <v>7</v>
      </c>
      <c r="C715">
        <v>2024</v>
      </c>
      <c r="D715" s="54">
        <v>45489</v>
      </c>
      <c r="E715" s="42" t="s">
        <v>249</v>
      </c>
      <c r="F715" s="76" t="s">
        <v>65</v>
      </c>
      <c r="G715" s="52">
        <v>-53.51</v>
      </c>
      <c r="H715" s="32" t="s">
        <v>601</v>
      </c>
    </row>
    <row r="716" spans="1:9" ht="18.75">
      <c r="A716" t="s">
        <v>1246</v>
      </c>
      <c r="B716">
        <v>7</v>
      </c>
      <c r="C716">
        <v>2024</v>
      </c>
      <c r="D716" s="54">
        <v>45490</v>
      </c>
      <c r="E716" s="42" t="s">
        <v>249</v>
      </c>
      <c r="F716" s="76" t="s">
        <v>399</v>
      </c>
      <c r="G716" s="52">
        <v>-34</v>
      </c>
      <c r="H716" s="32" t="s">
        <v>400</v>
      </c>
    </row>
    <row r="717" spans="1:9" ht="18.75">
      <c r="A717" t="s">
        <v>1247</v>
      </c>
      <c r="B717">
        <v>7</v>
      </c>
      <c r="C717">
        <v>2024</v>
      </c>
      <c r="D717" s="54">
        <v>45490</v>
      </c>
      <c r="E717" s="42" t="s">
        <v>249</v>
      </c>
      <c r="F717" s="76" t="s">
        <v>79</v>
      </c>
      <c r="G717" s="52">
        <v>3765.82</v>
      </c>
      <c r="H717" s="32" t="s">
        <v>306</v>
      </c>
    </row>
    <row r="718" spans="1:9" ht="18.75">
      <c r="A718" t="s">
        <v>1248</v>
      </c>
      <c r="B718">
        <v>7</v>
      </c>
      <c r="C718">
        <v>2024</v>
      </c>
      <c r="D718" s="54">
        <v>45490</v>
      </c>
      <c r="E718" s="42" t="s">
        <v>249</v>
      </c>
      <c r="F718" s="76" t="s">
        <v>65</v>
      </c>
      <c r="G718" s="52">
        <v>13.33</v>
      </c>
      <c r="H718" s="32" t="s">
        <v>601</v>
      </c>
    </row>
    <row r="719" spans="1:9" ht="18.75">
      <c r="A719" t="s">
        <v>1249</v>
      </c>
      <c r="B719">
        <v>7</v>
      </c>
      <c r="C719">
        <v>2024</v>
      </c>
      <c r="D719" s="54">
        <v>45490</v>
      </c>
      <c r="E719" s="42" t="s">
        <v>249</v>
      </c>
      <c r="F719" s="76" t="s">
        <v>65</v>
      </c>
      <c r="G719" s="52">
        <v>6.94</v>
      </c>
      <c r="H719" s="32" t="s">
        <v>258</v>
      </c>
    </row>
    <row r="720" spans="1:9" ht="18.75">
      <c r="A720" t="s">
        <v>1250</v>
      </c>
      <c r="B720">
        <v>7</v>
      </c>
      <c r="C720">
        <v>2024</v>
      </c>
      <c r="D720" s="54">
        <v>45490</v>
      </c>
      <c r="E720" s="42" t="s">
        <v>249</v>
      </c>
      <c r="F720" s="76" t="s">
        <v>65</v>
      </c>
      <c r="G720" s="52">
        <v>-7.9</v>
      </c>
      <c r="H720" s="32" t="s">
        <v>258</v>
      </c>
    </row>
    <row r="721" spans="1:8" ht="18.75">
      <c r="A721" s="77" t="s">
        <v>1251</v>
      </c>
      <c r="B721">
        <v>7</v>
      </c>
      <c r="C721">
        <v>2024</v>
      </c>
      <c r="D721" s="54">
        <v>45490</v>
      </c>
      <c r="E721" s="42" t="s">
        <v>249</v>
      </c>
      <c r="F721" s="76" t="s">
        <v>65</v>
      </c>
      <c r="G721" s="52">
        <v>-73.7</v>
      </c>
      <c r="H721" s="32" t="s">
        <v>258</v>
      </c>
    </row>
    <row r="722" spans="1:8" ht="18.75">
      <c r="A722" t="s">
        <v>1252</v>
      </c>
      <c r="B722">
        <v>7</v>
      </c>
      <c r="C722">
        <v>2024</v>
      </c>
      <c r="D722" s="54">
        <v>45490</v>
      </c>
      <c r="E722" s="42" t="s">
        <v>160</v>
      </c>
      <c r="F722" s="76" t="s">
        <v>60</v>
      </c>
      <c r="G722" s="52">
        <v>-96</v>
      </c>
      <c r="H722" s="32" t="s">
        <v>212</v>
      </c>
    </row>
    <row r="723" spans="1:8" ht="18.75">
      <c r="A723" t="s">
        <v>1253</v>
      </c>
      <c r="B723">
        <v>7</v>
      </c>
      <c r="C723">
        <v>2024</v>
      </c>
      <c r="D723" s="54">
        <v>45491</v>
      </c>
      <c r="E723" s="42" t="s">
        <v>249</v>
      </c>
      <c r="F723" s="76" t="s">
        <v>52</v>
      </c>
      <c r="G723" s="52">
        <v>-46.39</v>
      </c>
      <c r="H723" s="32" t="s">
        <v>1254</v>
      </c>
    </row>
    <row r="724" spans="1:8" ht="18.75">
      <c r="A724" t="s">
        <v>1255</v>
      </c>
      <c r="B724">
        <v>7</v>
      </c>
      <c r="C724">
        <v>2024</v>
      </c>
      <c r="D724" s="54">
        <v>45491</v>
      </c>
      <c r="E724" s="42" t="s">
        <v>160</v>
      </c>
      <c r="F724" s="76" t="s">
        <v>79</v>
      </c>
      <c r="G724" s="52">
        <v>-3765.82</v>
      </c>
      <c r="H724" s="32" t="s">
        <v>214</v>
      </c>
    </row>
    <row r="725" spans="1:8" ht="18.75">
      <c r="A725" t="s">
        <v>1256</v>
      </c>
      <c r="B725">
        <v>7</v>
      </c>
      <c r="C725">
        <v>2024</v>
      </c>
      <c r="D725" s="54">
        <v>45491</v>
      </c>
      <c r="E725" s="42" t="s">
        <v>160</v>
      </c>
      <c r="F725" s="76" t="s">
        <v>79</v>
      </c>
      <c r="G725" s="52">
        <v>1282.33</v>
      </c>
      <c r="H725" s="32" t="s">
        <v>190</v>
      </c>
    </row>
    <row r="726" spans="1:8" ht="18.75">
      <c r="A726" t="s">
        <v>1257</v>
      </c>
      <c r="B726">
        <v>7</v>
      </c>
      <c r="C726">
        <v>2024</v>
      </c>
      <c r="D726" s="54">
        <v>45491</v>
      </c>
      <c r="E726" s="42" t="s">
        <v>249</v>
      </c>
      <c r="F726" s="76" t="s">
        <v>65</v>
      </c>
      <c r="G726" s="52">
        <v>-414.97</v>
      </c>
      <c r="H726" s="32" t="s">
        <v>1258</v>
      </c>
    </row>
    <row r="727" spans="1:8" ht="18.75">
      <c r="A727" t="s">
        <v>1259</v>
      </c>
      <c r="B727">
        <v>7</v>
      </c>
      <c r="C727">
        <v>2024</v>
      </c>
      <c r="D727" s="54">
        <v>45491</v>
      </c>
      <c r="E727" s="42" t="s">
        <v>249</v>
      </c>
      <c r="F727" s="76" t="s">
        <v>57</v>
      </c>
      <c r="G727" s="52">
        <v>-132.09</v>
      </c>
      <c r="H727" s="32" t="s">
        <v>351</v>
      </c>
    </row>
    <row r="728" spans="1:8" ht="18.75">
      <c r="A728" t="s">
        <v>1260</v>
      </c>
      <c r="B728">
        <v>7</v>
      </c>
      <c r="C728">
        <v>2024</v>
      </c>
      <c r="D728" s="54">
        <v>45491</v>
      </c>
      <c r="E728" s="42" t="s">
        <v>249</v>
      </c>
      <c r="F728" s="76" t="s">
        <v>59</v>
      </c>
      <c r="G728" s="52">
        <v>-14.99</v>
      </c>
      <c r="H728" s="32" t="s">
        <v>282</v>
      </c>
    </row>
    <row r="729" spans="1:8" ht="18.75">
      <c r="A729" t="s">
        <v>1261</v>
      </c>
      <c r="B729">
        <v>7</v>
      </c>
      <c r="C729">
        <v>2024</v>
      </c>
      <c r="D729" s="54">
        <v>45492</v>
      </c>
      <c r="E729" s="42" t="s">
        <v>249</v>
      </c>
      <c r="F729" s="76" t="s">
        <v>65</v>
      </c>
      <c r="G729" s="52">
        <v>-15.24</v>
      </c>
      <c r="H729" s="32" t="s">
        <v>601</v>
      </c>
    </row>
    <row r="730" spans="1:8" ht="18.75">
      <c r="A730" t="s">
        <v>1262</v>
      </c>
      <c r="B730">
        <v>7</v>
      </c>
      <c r="C730">
        <v>2024</v>
      </c>
      <c r="D730" s="54">
        <v>45492</v>
      </c>
      <c r="E730" s="42" t="s">
        <v>249</v>
      </c>
      <c r="F730" s="76" t="s">
        <v>57</v>
      </c>
      <c r="G730" s="52">
        <v>-5.88</v>
      </c>
      <c r="H730" s="32" t="s">
        <v>1263</v>
      </c>
    </row>
    <row r="731" spans="1:8" ht="18.75">
      <c r="A731" t="s">
        <v>1264</v>
      </c>
      <c r="B731">
        <v>7</v>
      </c>
      <c r="C731">
        <v>2024</v>
      </c>
      <c r="D731" s="54">
        <v>45493</v>
      </c>
      <c r="E731" s="42" t="s">
        <v>249</v>
      </c>
      <c r="F731" s="76" t="s">
        <v>65</v>
      </c>
      <c r="G731" s="52">
        <v>-37.28</v>
      </c>
      <c r="H731" s="32" t="s">
        <v>1265</v>
      </c>
    </row>
    <row r="732" spans="1:8" ht="18.75">
      <c r="A732" t="s">
        <v>1266</v>
      </c>
      <c r="B732">
        <v>7</v>
      </c>
      <c r="C732">
        <v>2024</v>
      </c>
      <c r="D732" s="54">
        <v>45493</v>
      </c>
      <c r="E732" s="42" t="s">
        <v>249</v>
      </c>
      <c r="F732" s="76" t="s">
        <v>54</v>
      </c>
      <c r="G732" s="52">
        <v>-8.58</v>
      </c>
      <c r="H732" s="32" t="s">
        <v>1267</v>
      </c>
    </row>
    <row r="733" spans="1:8" ht="18.75">
      <c r="A733" t="s">
        <v>1268</v>
      </c>
      <c r="B733">
        <v>7</v>
      </c>
      <c r="C733">
        <v>2024</v>
      </c>
      <c r="D733" s="54">
        <v>45494</v>
      </c>
      <c r="E733" s="42" t="s">
        <v>249</v>
      </c>
      <c r="F733" s="76" t="s">
        <v>59</v>
      </c>
      <c r="G733" s="52">
        <v>-23.5</v>
      </c>
      <c r="H733" s="32" t="s">
        <v>631</v>
      </c>
    </row>
    <row r="734" spans="1:8" ht="18.75">
      <c r="A734" t="s">
        <v>1269</v>
      </c>
      <c r="B734">
        <v>8</v>
      </c>
      <c r="C734">
        <v>2024</v>
      </c>
      <c r="D734" s="54">
        <v>45505</v>
      </c>
      <c r="E734" s="42" t="s">
        <v>160</v>
      </c>
      <c r="F734" s="76" t="s">
        <v>49</v>
      </c>
      <c r="G734" s="52">
        <v>-50</v>
      </c>
      <c r="H734" s="32" t="s">
        <v>173</v>
      </c>
    </row>
    <row r="735" spans="1:8" ht="18.75">
      <c r="A735" t="s">
        <v>1270</v>
      </c>
      <c r="B735">
        <v>7</v>
      </c>
      <c r="C735">
        <v>2024</v>
      </c>
      <c r="D735" s="54">
        <v>45495</v>
      </c>
      <c r="E735" s="42" t="s">
        <v>160</v>
      </c>
      <c r="F735" s="76" t="s">
        <v>48</v>
      </c>
      <c r="G735" s="52">
        <v>-2.69</v>
      </c>
      <c r="H735" s="32" t="s">
        <v>220</v>
      </c>
    </row>
    <row r="736" spans="1:8" ht="18.75">
      <c r="A736" t="s">
        <v>1271</v>
      </c>
      <c r="B736">
        <v>7</v>
      </c>
      <c r="C736">
        <v>2024</v>
      </c>
      <c r="D736" s="54">
        <v>45495</v>
      </c>
      <c r="E736" s="42" t="s">
        <v>160</v>
      </c>
      <c r="F736" s="76" t="s">
        <v>63</v>
      </c>
      <c r="G736" s="52">
        <v>-70.959999999999994</v>
      </c>
      <c r="H736" s="32" t="s">
        <v>224</v>
      </c>
    </row>
    <row r="737" spans="1:8" ht="18.75">
      <c r="A737" t="s">
        <v>1272</v>
      </c>
      <c r="B737">
        <v>7</v>
      </c>
      <c r="C737">
        <v>2024</v>
      </c>
      <c r="D737" s="54">
        <v>45496</v>
      </c>
      <c r="E737" s="42" t="s">
        <v>249</v>
      </c>
      <c r="F737" s="76" t="s">
        <v>45</v>
      </c>
      <c r="G737" s="52">
        <v>-53.11</v>
      </c>
      <c r="H737" s="32" t="s">
        <v>250</v>
      </c>
    </row>
    <row r="738" spans="1:8" ht="18.75">
      <c r="A738" t="s">
        <v>1273</v>
      </c>
      <c r="B738">
        <v>7</v>
      </c>
      <c r="C738">
        <v>2024</v>
      </c>
      <c r="D738" s="54">
        <v>45496</v>
      </c>
      <c r="E738" s="42" t="s">
        <v>160</v>
      </c>
      <c r="F738" s="76" t="s">
        <v>43</v>
      </c>
      <c r="G738" s="52">
        <v>-9.0299999999999994</v>
      </c>
      <c r="H738" s="32" t="s">
        <v>163</v>
      </c>
    </row>
    <row r="739" spans="1:8" ht="18.75">
      <c r="A739" t="s">
        <v>1274</v>
      </c>
      <c r="B739">
        <v>7</v>
      </c>
      <c r="C739">
        <v>2024</v>
      </c>
      <c r="D739" s="54">
        <v>45496</v>
      </c>
      <c r="E739" s="42" t="s">
        <v>249</v>
      </c>
      <c r="F739" s="76" t="s">
        <v>54</v>
      </c>
      <c r="G739" s="52">
        <v>-26.49</v>
      </c>
      <c r="H739" s="32" t="s">
        <v>1275</v>
      </c>
    </row>
    <row r="740" spans="1:8" ht="18.75">
      <c r="A740" t="s">
        <v>1276</v>
      </c>
      <c r="B740">
        <v>7</v>
      </c>
      <c r="C740">
        <v>2024</v>
      </c>
      <c r="D740" s="54">
        <v>45497</v>
      </c>
      <c r="E740" s="42" t="s">
        <v>249</v>
      </c>
      <c r="F740" s="76" t="s">
        <v>45</v>
      </c>
      <c r="G740" s="52">
        <v>-36.950000000000003</v>
      </c>
      <c r="H740" s="32" t="s">
        <v>1277</v>
      </c>
    </row>
    <row r="741" spans="1:8" ht="18.75">
      <c r="A741" t="s">
        <v>1278</v>
      </c>
      <c r="B741">
        <v>7</v>
      </c>
      <c r="C741">
        <v>2024</v>
      </c>
      <c r="D741" s="54">
        <v>45497</v>
      </c>
      <c r="E741" s="42" t="s">
        <v>249</v>
      </c>
      <c r="F741" s="76" t="s">
        <v>66</v>
      </c>
      <c r="G741" s="52">
        <v>-90</v>
      </c>
      <c r="H741" s="32" t="s">
        <v>300</v>
      </c>
    </row>
    <row r="742" spans="1:8" ht="18.75">
      <c r="A742" t="s">
        <v>1279</v>
      </c>
      <c r="B742">
        <v>7</v>
      </c>
      <c r="C742">
        <v>2024</v>
      </c>
      <c r="D742" s="54">
        <v>45497</v>
      </c>
      <c r="E742" s="42" t="s">
        <v>160</v>
      </c>
      <c r="F742" s="76" t="s">
        <v>29</v>
      </c>
      <c r="G742" s="52">
        <v>-225.75</v>
      </c>
      <c r="H742" s="32" t="s">
        <v>167</v>
      </c>
    </row>
    <row r="743" spans="1:8" ht="18.75">
      <c r="A743" t="s">
        <v>1280</v>
      </c>
      <c r="B743">
        <v>7</v>
      </c>
      <c r="C743">
        <v>2024</v>
      </c>
      <c r="D743" s="54">
        <v>45497</v>
      </c>
      <c r="E743" s="42" t="s">
        <v>249</v>
      </c>
      <c r="F743" s="76" t="s">
        <v>50</v>
      </c>
      <c r="G743" s="52">
        <v>-126.4</v>
      </c>
      <c r="H743" s="32" t="s">
        <v>1281</v>
      </c>
    </row>
    <row r="744" spans="1:8" ht="18.75">
      <c r="A744" t="s">
        <v>1282</v>
      </c>
      <c r="B744">
        <v>7</v>
      </c>
      <c r="C744">
        <v>2024</v>
      </c>
      <c r="D744" s="54">
        <v>45498</v>
      </c>
      <c r="E744" s="42" t="s">
        <v>160</v>
      </c>
      <c r="F744" s="76" t="s">
        <v>48</v>
      </c>
      <c r="G744" s="52">
        <v>-4</v>
      </c>
      <c r="H744" s="32" t="s">
        <v>228</v>
      </c>
    </row>
    <row r="745" spans="1:8" ht="18.75">
      <c r="A745" t="s">
        <v>1283</v>
      </c>
      <c r="B745">
        <v>7</v>
      </c>
      <c r="C745">
        <v>2024</v>
      </c>
      <c r="D745" s="54">
        <v>45498</v>
      </c>
      <c r="E745" s="42" t="s">
        <v>160</v>
      </c>
      <c r="F745" s="76" t="s">
        <v>48</v>
      </c>
      <c r="G745" s="52">
        <v>-10</v>
      </c>
      <c r="H745" s="32" t="s">
        <v>230</v>
      </c>
    </row>
    <row r="746" spans="1:8" ht="18.75">
      <c r="A746" t="s">
        <v>1284</v>
      </c>
      <c r="B746">
        <v>7</v>
      </c>
      <c r="C746">
        <v>2024</v>
      </c>
      <c r="D746" s="54">
        <v>45498</v>
      </c>
      <c r="E746" s="42" t="s">
        <v>249</v>
      </c>
      <c r="F746" s="76" t="s">
        <v>57</v>
      </c>
      <c r="G746" s="52">
        <v>-66.59</v>
      </c>
      <c r="H746" s="32" t="s">
        <v>351</v>
      </c>
    </row>
    <row r="747" spans="1:8" ht="18.75">
      <c r="A747" t="s">
        <v>1285</v>
      </c>
      <c r="B747">
        <v>7</v>
      </c>
      <c r="C747">
        <v>2024</v>
      </c>
      <c r="D747" s="54">
        <v>45498</v>
      </c>
      <c r="E747" s="42" t="s">
        <v>249</v>
      </c>
      <c r="F747" s="76" t="s">
        <v>59</v>
      </c>
      <c r="G747" s="52">
        <v>-3.5</v>
      </c>
      <c r="H747" s="32" t="s">
        <v>1286</v>
      </c>
    </row>
    <row r="748" spans="1:8" ht="18.75">
      <c r="A748" t="s">
        <v>1287</v>
      </c>
      <c r="B748">
        <v>7</v>
      </c>
      <c r="C748">
        <v>2024</v>
      </c>
      <c r="D748" s="54">
        <v>45498</v>
      </c>
      <c r="E748" s="42" t="s">
        <v>249</v>
      </c>
      <c r="F748" s="76" t="s">
        <v>32</v>
      </c>
      <c r="G748" s="52">
        <v>-48.68</v>
      </c>
      <c r="H748" s="32" t="s">
        <v>265</v>
      </c>
    </row>
    <row r="749" spans="1:8" ht="18.75">
      <c r="A749" t="s">
        <v>1288</v>
      </c>
      <c r="B749">
        <v>7</v>
      </c>
      <c r="C749">
        <v>2024</v>
      </c>
      <c r="D749" s="54">
        <v>45499</v>
      </c>
      <c r="E749" s="42" t="s">
        <v>160</v>
      </c>
      <c r="F749" s="76" t="s">
        <v>33</v>
      </c>
      <c r="G749" s="52">
        <v>-443.25</v>
      </c>
      <c r="H749" s="32" t="s">
        <v>169</v>
      </c>
    </row>
    <row r="750" spans="1:8" ht="18.75">
      <c r="A750" t="s">
        <v>1289</v>
      </c>
      <c r="B750">
        <v>7</v>
      </c>
      <c r="C750">
        <v>2024</v>
      </c>
      <c r="D750" s="54">
        <v>45499</v>
      </c>
      <c r="E750" s="42" t="s">
        <v>160</v>
      </c>
      <c r="F750" s="76" t="s">
        <v>79</v>
      </c>
      <c r="G750" s="52">
        <v>2046.79</v>
      </c>
      <c r="H750" s="32" t="s">
        <v>171</v>
      </c>
    </row>
    <row r="751" spans="1:8" ht="18.75">
      <c r="A751" t="s">
        <v>1290</v>
      </c>
      <c r="B751">
        <v>7</v>
      </c>
      <c r="C751">
        <v>2024</v>
      </c>
      <c r="D751" s="54">
        <v>45499</v>
      </c>
      <c r="E751" s="42" t="s">
        <v>249</v>
      </c>
      <c r="F751" s="76" t="s">
        <v>41</v>
      </c>
      <c r="G751" s="52">
        <v>-24.07</v>
      </c>
      <c r="H751" s="32" t="s">
        <v>1291</v>
      </c>
    </row>
    <row r="752" spans="1:8" ht="18.75">
      <c r="A752" t="s">
        <v>1292</v>
      </c>
      <c r="B752">
        <v>7</v>
      </c>
      <c r="C752">
        <v>2024</v>
      </c>
      <c r="D752" s="54">
        <v>45500</v>
      </c>
      <c r="E752" s="42" t="s">
        <v>249</v>
      </c>
      <c r="F752" s="76" t="s">
        <v>32</v>
      </c>
      <c r="G752" s="52">
        <v>-160.04</v>
      </c>
      <c r="H752" s="32" t="s">
        <v>554</v>
      </c>
    </row>
    <row r="753" spans="1:8" ht="18.75">
      <c r="A753" t="s">
        <v>1293</v>
      </c>
      <c r="B753">
        <v>7</v>
      </c>
      <c r="C753">
        <v>2024</v>
      </c>
      <c r="D753" s="54">
        <v>45502</v>
      </c>
      <c r="E753" s="42" t="s">
        <v>249</v>
      </c>
      <c r="F753" s="76" t="s">
        <v>58</v>
      </c>
      <c r="G753" s="52">
        <v>-111.87</v>
      </c>
      <c r="H753" s="32" t="s">
        <v>1294</v>
      </c>
    </row>
    <row r="754" spans="1:8" ht="18.75">
      <c r="A754" t="s">
        <v>1295</v>
      </c>
      <c r="B754">
        <v>7</v>
      </c>
      <c r="C754">
        <v>2024</v>
      </c>
      <c r="D754" s="54">
        <v>45502</v>
      </c>
      <c r="E754" s="42" t="s">
        <v>249</v>
      </c>
      <c r="F754" s="76" t="s">
        <v>66</v>
      </c>
      <c r="G754" s="52">
        <v>90</v>
      </c>
      <c r="H754" s="32" t="s">
        <v>402</v>
      </c>
    </row>
    <row r="755" spans="1:8" ht="18.75">
      <c r="A755" t="s">
        <v>1296</v>
      </c>
      <c r="B755">
        <v>7</v>
      </c>
      <c r="C755">
        <v>2024</v>
      </c>
      <c r="D755" s="54">
        <v>45502</v>
      </c>
      <c r="E755" s="42" t="s">
        <v>249</v>
      </c>
      <c r="F755" s="76" t="s">
        <v>57</v>
      </c>
      <c r="G755" s="52">
        <v>-98.23</v>
      </c>
      <c r="H755" s="32" t="s">
        <v>351</v>
      </c>
    </row>
    <row r="756" spans="1:8" ht="18.75">
      <c r="A756" t="s">
        <v>1297</v>
      </c>
      <c r="B756">
        <v>7</v>
      </c>
      <c r="C756">
        <v>2024</v>
      </c>
      <c r="D756" s="54">
        <v>45502</v>
      </c>
      <c r="E756" s="42" t="s">
        <v>249</v>
      </c>
      <c r="F756" s="76" t="s">
        <v>57</v>
      </c>
      <c r="G756" s="52">
        <v>-104.24</v>
      </c>
      <c r="H756" s="32" t="s">
        <v>282</v>
      </c>
    </row>
    <row r="757" spans="1:8" ht="18.75">
      <c r="A757" t="s">
        <v>1298</v>
      </c>
      <c r="B757">
        <v>7</v>
      </c>
      <c r="C757">
        <v>2024</v>
      </c>
      <c r="D757" s="54">
        <v>45503</v>
      </c>
      <c r="E757" s="42" t="s">
        <v>249</v>
      </c>
      <c r="F757" s="76" t="s">
        <v>59</v>
      </c>
      <c r="G757" s="52">
        <v>-69.77</v>
      </c>
      <c r="H757" s="32" t="s">
        <v>359</v>
      </c>
    </row>
    <row r="758" spans="1:8" ht="18.75">
      <c r="B758">
        <v>7</v>
      </c>
      <c r="C758">
        <v>2024</v>
      </c>
      <c r="D758" s="54">
        <v>45504</v>
      </c>
      <c r="F758" s="76" t="s">
        <v>52</v>
      </c>
      <c r="G758" s="52">
        <v>123.62</v>
      </c>
      <c r="H758" s="32" t="s">
        <v>1299</v>
      </c>
    </row>
    <row r="759" spans="1:8" ht="18.75">
      <c r="B759" t="s">
        <v>1300</v>
      </c>
      <c r="C759">
        <v>2024</v>
      </c>
      <c r="D759" s="54">
        <v>45504</v>
      </c>
      <c r="F759" s="76" t="s">
        <v>65</v>
      </c>
      <c r="G759" s="52">
        <v>341.05</v>
      </c>
      <c r="H759" s="32" t="s">
        <v>1301</v>
      </c>
    </row>
    <row r="760" spans="1:8" ht="18.75">
      <c r="B760">
        <v>7</v>
      </c>
      <c r="C760">
        <v>2024</v>
      </c>
      <c r="D760" s="54">
        <v>45504</v>
      </c>
      <c r="F760" s="76" t="s">
        <v>57</v>
      </c>
      <c r="G760" s="52">
        <v>184.2</v>
      </c>
      <c r="H760" s="32" t="s">
        <v>1299</v>
      </c>
    </row>
    <row r="761" spans="1:8" ht="18.75">
      <c r="B761">
        <v>7</v>
      </c>
      <c r="C761">
        <v>2024</v>
      </c>
      <c r="D761" s="54">
        <v>45504</v>
      </c>
      <c r="F761" s="76" t="s">
        <v>54</v>
      </c>
      <c r="G761" s="52">
        <v>76.37</v>
      </c>
      <c r="H761" s="32" t="s">
        <v>1299</v>
      </c>
    </row>
    <row r="762" spans="1:8" ht="18.75">
      <c r="B762">
        <v>7</v>
      </c>
      <c r="C762">
        <v>2024</v>
      </c>
      <c r="D762" s="54">
        <v>45504</v>
      </c>
      <c r="E762" s="42" t="s">
        <v>146</v>
      </c>
      <c r="F762" s="76" t="s">
        <v>59</v>
      </c>
      <c r="G762" s="52">
        <v>112.83</v>
      </c>
      <c r="H762" s="32" t="s">
        <v>1299</v>
      </c>
    </row>
    <row r="763" spans="1:8" ht="18.75">
      <c r="B763">
        <v>7</v>
      </c>
      <c r="C763">
        <v>2024</v>
      </c>
      <c r="D763" s="54">
        <v>45504</v>
      </c>
      <c r="F763" s="76" t="s">
        <v>44</v>
      </c>
      <c r="G763" s="52">
        <f>-76.36</f>
        <v>-76.36</v>
      </c>
      <c r="H763" s="32" t="s">
        <v>1299</v>
      </c>
    </row>
    <row r="764" spans="1:8" ht="18.75">
      <c r="B764">
        <v>7</v>
      </c>
      <c r="C764">
        <v>2024</v>
      </c>
      <c r="D764" s="54">
        <v>45504</v>
      </c>
      <c r="E764" s="42" t="s">
        <v>146</v>
      </c>
      <c r="F764" s="76" t="s">
        <v>44</v>
      </c>
      <c r="G764" s="52">
        <v>-112.83</v>
      </c>
      <c r="H764" s="32" t="s">
        <v>1299</v>
      </c>
    </row>
    <row r="765" spans="1:8" ht="18.75">
      <c r="B765">
        <v>7</v>
      </c>
      <c r="C765">
        <v>2024</v>
      </c>
      <c r="D765" s="54">
        <v>45504</v>
      </c>
      <c r="F765" s="76" t="s">
        <v>44</v>
      </c>
      <c r="G765" s="52">
        <f>-123.62</f>
        <v>-123.62</v>
      </c>
      <c r="H765" s="32" t="s">
        <v>1299</v>
      </c>
    </row>
    <row r="766" spans="1:8" ht="18.75">
      <c r="B766">
        <v>7</v>
      </c>
      <c r="C766">
        <v>2024</v>
      </c>
      <c r="D766" s="54">
        <v>45504</v>
      </c>
      <c r="F766" s="76" t="s">
        <v>44</v>
      </c>
      <c r="G766" s="52">
        <f>-184.2</f>
        <v>-184.2</v>
      </c>
      <c r="H766" s="32" t="s">
        <v>1299</v>
      </c>
    </row>
    <row r="767" spans="1:8" ht="18.75">
      <c r="A767" t="s">
        <v>1302</v>
      </c>
      <c r="B767">
        <v>8</v>
      </c>
      <c r="C767">
        <v>2024</v>
      </c>
      <c r="D767" s="54">
        <v>45509</v>
      </c>
      <c r="E767" s="42" t="s">
        <v>160</v>
      </c>
      <c r="F767" s="76" t="s">
        <v>49</v>
      </c>
      <c r="G767" s="52">
        <v>-50</v>
      </c>
      <c r="H767" s="32" t="s">
        <v>161</v>
      </c>
    </row>
    <row r="768" spans="1:8" ht="18.75">
      <c r="A768" t="s">
        <v>1303</v>
      </c>
      <c r="B768">
        <v>8</v>
      </c>
      <c r="C768">
        <v>2024</v>
      </c>
      <c r="D768" s="54">
        <v>45505</v>
      </c>
      <c r="E768" s="42" t="s">
        <v>146</v>
      </c>
      <c r="F768" s="76" t="s">
        <v>48</v>
      </c>
      <c r="G768" s="52">
        <v>3.34</v>
      </c>
      <c r="H768" s="32" t="s">
        <v>175</v>
      </c>
    </row>
    <row r="769" spans="1:8" ht="18.75">
      <c r="A769" t="s">
        <v>1304</v>
      </c>
      <c r="B769">
        <v>8</v>
      </c>
      <c r="C769">
        <v>2024</v>
      </c>
      <c r="D769" s="54">
        <v>45505</v>
      </c>
      <c r="E769" s="42" t="s">
        <v>160</v>
      </c>
      <c r="F769" s="76" t="s">
        <v>79</v>
      </c>
      <c r="G769" s="52">
        <v>1282.33</v>
      </c>
      <c r="H769" s="32" t="s">
        <v>190</v>
      </c>
    </row>
    <row r="770" spans="1:8" ht="18.75">
      <c r="A770" t="s">
        <v>1305</v>
      </c>
      <c r="B770">
        <v>8</v>
      </c>
      <c r="C770">
        <v>2024</v>
      </c>
      <c r="D770" s="54">
        <v>45505</v>
      </c>
      <c r="E770" s="42" t="s">
        <v>160</v>
      </c>
      <c r="F770" s="76" t="s">
        <v>79</v>
      </c>
      <c r="G770" s="52">
        <v>341.05</v>
      </c>
      <c r="H770" s="32" t="s">
        <v>1306</v>
      </c>
    </row>
    <row r="771" spans="1:8" ht="18.75">
      <c r="A771" t="s">
        <v>1307</v>
      </c>
      <c r="B771">
        <v>8</v>
      </c>
      <c r="C771">
        <v>2024</v>
      </c>
      <c r="D771" s="54">
        <v>45505</v>
      </c>
      <c r="E771" s="42" t="s">
        <v>146</v>
      </c>
      <c r="F771" s="76" t="s">
        <v>79</v>
      </c>
      <c r="G771" s="52">
        <v>2080</v>
      </c>
      <c r="H771" s="32" t="s">
        <v>1308</v>
      </c>
    </row>
    <row r="772" spans="1:8" ht="18.75">
      <c r="A772" t="s">
        <v>1309</v>
      </c>
      <c r="B772">
        <v>8</v>
      </c>
      <c r="C772">
        <v>2024</v>
      </c>
      <c r="D772" s="54">
        <v>45505</v>
      </c>
      <c r="E772" s="42" t="s">
        <v>160</v>
      </c>
      <c r="F772" s="76" t="s">
        <v>79</v>
      </c>
      <c r="G772" s="52">
        <v>871.85</v>
      </c>
      <c r="H772" s="32" t="s">
        <v>1310</v>
      </c>
    </row>
    <row r="773" spans="1:8" ht="18.75">
      <c r="A773" t="s">
        <v>1311</v>
      </c>
      <c r="B773">
        <v>8</v>
      </c>
      <c r="C773">
        <v>2024</v>
      </c>
      <c r="D773" s="54">
        <v>45505</v>
      </c>
      <c r="E773" s="42" t="s">
        <v>146</v>
      </c>
      <c r="F773" s="76" t="s">
        <v>79</v>
      </c>
      <c r="G773" s="52">
        <v>-341.05</v>
      </c>
      <c r="H773" s="32" t="s">
        <v>1312</v>
      </c>
    </row>
    <row r="774" spans="1:8" ht="17.25" customHeight="1">
      <c r="A774" t="s">
        <v>1313</v>
      </c>
      <c r="B774">
        <v>8</v>
      </c>
      <c r="C774">
        <v>2024</v>
      </c>
      <c r="D774" s="54">
        <v>45505</v>
      </c>
      <c r="E774" s="42" t="s">
        <v>160</v>
      </c>
      <c r="F774" s="76" t="s">
        <v>79</v>
      </c>
      <c r="G774" s="52">
        <v>-2080</v>
      </c>
      <c r="H774" s="32" t="s">
        <v>1314</v>
      </c>
    </row>
    <row r="775" spans="1:8" ht="18.75">
      <c r="A775" t="s">
        <v>1315</v>
      </c>
      <c r="B775">
        <v>8</v>
      </c>
      <c r="C775">
        <v>2024</v>
      </c>
      <c r="D775" s="54">
        <v>45505</v>
      </c>
      <c r="E775" s="42" t="s">
        <v>146</v>
      </c>
      <c r="F775" s="76" t="s">
        <v>79</v>
      </c>
      <c r="G775" s="52">
        <v>-871.85</v>
      </c>
      <c r="H775" s="32" t="s">
        <v>1316</v>
      </c>
    </row>
    <row r="776" spans="1:8" ht="18.75">
      <c r="A776" t="s">
        <v>1317</v>
      </c>
      <c r="B776">
        <v>8</v>
      </c>
      <c r="C776">
        <v>2024</v>
      </c>
      <c r="D776" s="54">
        <v>45505</v>
      </c>
      <c r="E776" s="42" t="s">
        <v>160</v>
      </c>
      <c r="F776" s="76" t="s">
        <v>187</v>
      </c>
      <c r="G776" s="52">
        <v>-150</v>
      </c>
      <c r="H776" s="32" t="s">
        <v>1318</v>
      </c>
    </row>
    <row r="777" spans="1:8" ht="18.75">
      <c r="A777" t="s">
        <v>1319</v>
      </c>
      <c r="B777">
        <v>8</v>
      </c>
      <c r="C777">
        <v>2024</v>
      </c>
      <c r="D777" s="54">
        <v>45505</v>
      </c>
      <c r="E777" s="42" t="s">
        <v>160</v>
      </c>
      <c r="F777" s="76" t="s">
        <v>40</v>
      </c>
      <c r="G777" s="52">
        <v>-100</v>
      </c>
      <c r="H777" s="32" t="s">
        <v>1320</v>
      </c>
    </row>
    <row r="778" spans="1:8" ht="18.75">
      <c r="A778" t="s">
        <v>1321</v>
      </c>
      <c r="B778">
        <v>8</v>
      </c>
      <c r="C778">
        <v>2024</v>
      </c>
      <c r="D778" s="54">
        <v>45505</v>
      </c>
      <c r="E778" s="42" t="s">
        <v>160</v>
      </c>
      <c r="F778" s="76" t="s">
        <v>40</v>
      </c>
      <c r="G778" s="52">
        <v>-100</v>
      </c>
      <c r="H778" s="32" t="s">
        <v>1322</v>
      </c>
    </row>
    <row r="779" spans="1:8" ht="18.75">
      <c r="A779" t="s">
        <v>1323</v>
      </c>
      <c r="B779">
        <v>8</v>
      </c>
      <c r="C779">
        <v>2024</v>
      </c>
      <c r="D779" s="54">
        <v>45506</v>
      </c>
      <c r="E779" s="42" t="s">
        <v>249</v>
      </c>
      <c r="F779" s="76" t="s">
        <v>47</v>
      </c>
      <c r="G779" s="52">
        <v>-65.38</v>
      </c>
      <c r="H779" s="32" t="s">
        <v>601</v>
      </c>
    </row>
    <row r="780" spans="1:8" ht="18.75">
      <c r="A780" t="s">
        <v>1324</v>
      </c>
      <c r="B780">
        <v>8</v>
      </c>
      <c r="C780">
        <v>2024</v>
      </c>
      <c r="D780" s="54">
        <v>45506</v>
      </c>
      <c r="E780" s="42" t="s">
        <v>249</v>
      </c>
      <c r="F780" s="76" t="s">
        <v>47</v>
      </c>
      <c r="G780" s="52">
        <v>-27.79</v>
      </c>
      <c r="H780" s="32" t="s">
        <v>1325</v>
      </c>
    </row>
    <row r="781" spans="1:8" ht="18.75">
      <c r="A781" t="s">
        <v>1326</v>
      </c>
      <c r="B781">
        <v>8</v>
      </c>
      <c r="C781">
        <v>2024</v>
      </c>
      <c r="D781" s="54">
        <v>45506</v>
      </c>
      <c r="E781" s="42" t="s">
        <v>249</v>
      </c>
      <c r="F781" s="76" t="s">
        <v>59</v>
      </c>
      <c r="G781" s="52">
        <v>-23.39</v>
      </c>
      <c r="H781" s="32" t="s">
        <v>1327</v>
      </c>
    </row>
    <row r="782" spans="1:8" ht="18.75">
      <c r="A782" t="s">
        <v>1328</v>
      </c>
      <c r="B782">
        <v>8</v>
      </c>
      <c r="C782">
        <v>2024</v>
      </c>
      <c r="D782" s="54">
        <v>45507</v>
      </c>
      <c r="E782" s="42" t="s">
        <v>249</v>
      </c>
      <c r="F782" s="76" t="s">
        <v>58</v>
      </c>
      <c r="G782" s="52">
        <v>-28.23</v>
      </c>
      <c r="H782" s="32" t="s">
        <v>282</v>
      </c>
    </row>
    <row r="783" spans="1:8" ht="18.75">
      <c r="A783" t="s">
        <v>1329</v>
      </c>
      <c r="B783">
        <v>8</v>
      </c>
      <c r="C783">
        <v>2024</v>
      </c>
      <c r="D783" s="54">
        <v>45507</v>
      </c>
      <c r="E783" s="42" t="s">
        <v>249</v>
      </c>
      <c r="F783" s="76" t="s">
        <v>57</v>
      </c>
      <c r="G783" s="52">
        <v>-2.48</v>
      </c>
      <c r="H783" s="32" t="s">
        <v>351</v>
      </c>
    </row>
    <row r="784" spans="1:8" ht="18.75">
      <c r="A784" t="s">
        <v>1330</v>
      </c>
      <c r="B784">
        <v>8</v>
      </c>
      <c r="C784">
        <v>2024</v>
      </c>
      <c r="D784" s="54">
        <v>45507</v>
      </c>
      <c r="E784" s="42" t="s">
        <v>249</v>
      </c>
      <c r="F784" s="76" t="s">
        <v>57</v>
      </c>
      <c r="G784" s="52">
        <v>-14.16</v>
      </c>
      <c r="H784" s="32" t="s">
        <v>282</v>
      </c>
    </row>
    <row r="785" spans="1:9" ht="18.75">
      <c r="A785" t="s">
        <v>1331</v>
      </c>
      <c r="B785">
        <v>8</v>
      </c>
      <c r="C785">
        <v>2024</v>
      </c>
      <c r="D785" s="54">
        <v>45507</v>
      </c>
      <c r="E785" s="42" t="s">
        <v>249</v>
      </c>
      <c r="F785" s="76" t="s">
        <v>47</v>
      </c>
      <c r="G785" s="52">
        <v>-44.71</v>
      </c>
      <c r="H785" s="32" t="s">
        <v>1332</v>
      </c>
    </row>
    <row r="786" spans="1:9" ht="18.75">
      <c r="A786" t="s">
        <v>1333</v>
      </c>
      <c r="B786">
        <v>8</v>
      </c>
      <c r="C786">
        <v>2024</v>
      </c>
      <c r="D786" s="54">
        <v>45523</v>
      </c>
      <c r="E786" s="42" t="s">
        <v>160</v>
      </c>
      <c r="F786" s="76" t="s">
        <v>49</v>
      </c>
      <c r="G786" s="52">
        <v>-50</v>
      </c>
      <c r="H786" s="32" t="s">
        <v>161</v>
      </c>
    </row>
    <row r="787" spans="1:9" ht="18.75">
      <c r="A787" s="77" t="s">
        <v>1334</v>
      </c>
      <c r="B787">
        <v>8</v>
      </c>
      <c r="C787">
        <v>2024</v>
      </c>
      <c r="D787" s="54">
        <v>45509</v>
      </c>
      <c r="E787" s="42" t="s">
        <v>160</v>
      </c>
      <c r="F787" s="76" t="s">
        <v>30</v>
      </c>
      <c r="G787" s="52">
        <v>-214.82</v>
      </c>
      <c r="H787" s="32" t="s">
        <v>196</v>
      </c>
    </row>
    <row r="788" spans="1:9" ht="18.75">
      <c r="A788" t="s">
        <v>1335</v>
      </c>
      <c r="B788">
        <v>8</v>
      </c>
      <c r="C788">
        <v>2024</v>
      </c>
      <c r="D788" s="54">
        <v>45509</v>
      </c>
      <c r="E788" s="42" t="s">
        <v>249</v>
      </c>
      <c r="F788" s="76" t="s">
        <v>57</v>
      </c>
      <c r="G788" s="52">
        <v>-94.05</v>
      </c>
      <c r="H788" s="32" t="s">
        <v>351</v>
      </c>
    </row>
    <row r="789" spans="1:9" ht="18.75">
      <c r="A789" t="s">
        <v>1336</v>
      </c>
      <c r="B789">
        <v>8</v>
      </c>
      <c r="C789">
        <v>2024</v>
      </c>
      <c r="D789" s="54">
        <v>45510</v>
      </c>
      <c r="E789" s="42" t="s">
        <v>160</v>
      </c>
      <c r="F789" s="76" t="s">
        <v>43</v>
      </c>
      <c r="G789" s="52">
        <v>-9.0299999999999994</v>
      </c>
      <c r="H789" s="32" t="s">
        <v>163</v>
      </c>
    </row>
    <row r="790" spans="1:9" ht="18.75">
      <c r="A790" t="s">
        <v>1337</v>
      </c>
      <c r="B790">
        <v>8</v>
      </c>
      <c r="C790">
        <v>2024</v>
      </c>
      <c r="D790" s="54">
        <v>45510</v>
      </c>
      <c r="E790" s="42" t="s">
        <v>249</v>
      </c>
      <c r="F790" s="76" t="s">
        <v>32</v>
      </c>
      <c r="G790" s="52">
        <v>-103.1</v>
      </c>
      <c r="H790" s="32" t="s">
        <v>554</v>
      </c>
    </row>
    <row r="791" spans="1:9" ht="18.75">
      <c r="A791" t="s">
        <v>1338</v>
      </c>
      <c r="B791">
        <v>8</v>
      </c>
      <c r="C791">
        <v>2024</v>
      </c>
      <c r="D791" s="54">
        <v>45511</v>
      </c>
      <c r="E791" s="42" t="s">
        <v>249</v>
      </c>
      <c r="F791" s="76" t="s">
        <v>42</v>
      </c>
      <c r="G791" s="52">
        <v>-25.98</v>
      </c>
      <c r="H791" s="32" t="s">
        <v>278</v>
      </c>
    </row>
    <row r="792" spans="1:9" ht="18.75">
      <c r="A792" t="s">
        <v>1339</v>
      </c>
      <c r="B792">
        <v>8</v>
      </c>
      <c r="C792">
        <v>2024</v>
      </c>
      <c r="D792" s="54">
        <v>45511</v>
      </c>
      <c r="E792" s="42" t="s">
        <v>249</v>
      </c>
      <c r="F792" s="76" t="s">
        <v>66</v>
      </c>
      <c r="G792" s="52">
        <v>-90</v>
      </c>
      <c r="H792" s="32" t="s">
        <v>300</v>
      </c>
    </row>
    <row r="793" spans="1:9" ht="18.75">
      <c r="A793" t="s">
        <v>1340</v>
      </c>
      <c r="B793">
        <v>8</v>
      </c>
      <c r="C793">
        <v>2024</v>
      </c>
      <c r="D793" s="54">
        <v>45512</v>
      </c>
      <c r="E793" s="42" t="s">
        <v>160</v>
      </c>
      <c r="F793" s="76" t="s">
        <v>51</v>
      </c>
      <c r="G793" s="52">
        <v>-125.87</v>
      </c>
      <c r="H793" s="32" t="s">
        <v>199</v>
      </c>
    </row>
    <row r="794" spans="1:9" ht="18.75">
      <c r="A794" t="s">
        <v>1341</v>
      </c>
      <c r="B794">
        <v>8</v>
      </c>
      <c r="C794">
        <v>2024</v>
      </c>
      <c r="D794" s="54">
        <v>45512</v>
      </c>
      <c r="E794" s="42" t="s">
        <v>249</v>
      </c>
      <c r="F794" s="76" t="s">
        <v>35</v>
      </c>
      <c r="G794" s="52">
        <v>-88.14</v>
      </c>
      <c r="H794" s="32" t="s">
        <v>285</v>
      </c>
    </row>
    <row r="795" spans="1:9" ht="18.75">
      <c r="A795" t="s">
        <v>1342</v>
      </c>
      <c r="B795">
        <v>8</v>
      </c>
      <c r="C795">
        <v>2024</v>
      </c>
      <c r="D795" s="54">
        <v>45513</v>
      </c>
      <c r="E795" s="42" t="s">
        <v>160</v>
      </c>
      <c r="F795" s="76" t="s">
        <v>33</v>
      </c>
      <c r="G795" s="52">
        <v>-443.25</v>
      </c>
      <c r="H795" s="32" t="s">
        <v>169</v>
      </c>
    </row>
    <row r="796" spans="1:9" ht="18.75">
      <c r="A796" t="s">
        <v>1343</v>
      </c>
      <c r="B796">
        <v>8</v>
      </c>
      <c r="C796">
        <v>2024</v>
      </c>
      <c r="D796" s="54">
        <v>45513</v>
      </c>
      <c r="E796" s="42" t="s">
        <v>160</v>
      </c>
      <c r="F796" s="76" t="s">
        <v>79</v>
      </c>
      <c r="G796" s="52">
        <v>2046.79</v>
      </c>
      <c r="H796" s="32" t="s">
        <v>171</v>
      </c>
    </row>
    <row r="797" spans="1:9" ht="18.75">
      <c r="A797" t="s">
        <v>1344</v>
      </c>
      <c r="B797">
        <v>8</v>
      </c>
      <c r="C797">
        <v>2024</v>
      </c>
      <c r="D797" s="54">
        <v>45513</v>
      </c>
      <c r="E797" s="42" t="s">
        <v>249</v>
      </c>
      <c r="F797" s="76" t="s">
        <v>50</v>
      </c>
      <c r="G797" s="52">
        <v>-42.35</v>
      </c>
      <c r="H797" s="32" t="s">
        <v>1230</v>
      </c>
    </row>
    <row r="798" spans="1:9" ht="18.75">
      <c r="A798" t="s">
        <v>1345</v>
      </c>
      <c r="B798">
        <v>8</v>
      </c>
      <c r="C798">
        <v>2024</v>
      </c>
      <c r="D798" s="54">
        <v>45514</v>
      </c>
      <c r="E798" s="42" t="s">
        <v>249</v>
      </c>
      <c r="F798" s="76" t="s">
        <v>58</v>
      </c>
      <c r="G798" s="52">
        <f>-52.27+17.27</f>
        <v>-35</v>
      </c>
      <c r="H798" s="32" t="s">
        <v>282</v>
      </c>
    </row>
    <row r="799" spans="1:9" ht="18.75">
      <c r="B799">
        <v>8</v>
      </c>
      <c r="C799">
        <v>2024</v>
      </c>
      <c r="D799" s="54">
        <v>45514</v>
      </c>
      <c r="E799" s="42" t="s">
        <v>249</v>
      </c>
      <c r="F799" s="76" t="s">
        <v>57</v>
      </c>
      <c r="G799" s="52">
        <v>-17.27</v>
      </c>
      <c r="H799" s="32" t="s">
        <v>282</v>
      </c>
      <c r="I799" s="32" t="s">
        <v>1346</v>
      </c>
    </row>
    <row r="800" spans="1:9" ht="18.75">
      <c r="A800" t="s">
        <v>1347</v>
      </c>
      <c r="B800">
        <v>8</v>
      </c>
      <c r="C800">
        <v>2024</v>
      </c>
      <c r="D800" s="54">
        <v>45514</v>
      </c>
      <c r="E800" s="42" t="s">
        <v>249</v>
      </c>
      <c r="F800" s="76" t="s">
        <v>59</v>
      </c>
      <c r="G800" s="52">
        <v>-25</v>
      </c>
      <c r="H800" s="32" t="s">
        <v>1348</v>
      </c>
    </row>
    <row r="801" spans="1:9" ht="18.75">
      <c r="A801" t="s">
        <v>1349</v>
      </c>
      <c r="B801">
        <v>8</v>
      </c>
      <c r="C801">
        <v>2024</v>
      </c>
      <c r="D801" s="54">
        <v>45514</v>
      </c>
      <c r="E801" s="42" t="s">
        <v>249</v>
      </c>
      <c r="F801" s="76" t="s">
        <v>50</v>
      </c>
      <c r="G801" s="52">
        <v>-69.900000000000006</v>
      </c>
      <c r="H801" s="32" t="s">
        <v>1350</v>
      </c>
    </row>
    <row r="802" spans="1:9" ht="18.75">
      <c r="A802" t="s">
        <v>1351</v>
      </c>
      <c r="B802">
        <v>8</v>
      </c>
      <c r="C802">
        <v>2024</v>
      </c>
      <c r="D802" s="54">
        <v>45515</v>
      </c>
      <c r="E802" s="42" t="s">
        <v>249</v>
      </c>
      <c r="F802" s="76" t="s">
        <v>65</v>
      </c>
      <c r="G802" s="52">
        <v>248.15</v>
      </c>
      <c r="H802" s="32" t="s">
        <v>386</v>
      </c>
    </row>
    <row r="803" spans="1:9" ht="18.75">
      <c r="A803" t="s">
        <v>1352</v>
      </c>
      <c r="B803">
        <v>8</v>
      </c>
      <c r="C803">
        <v>2024</v>
      </c>
      <c r="D803" s="54">
        <v>45515</v>
      </c>
      <c r="E803" s="42" t="s">
        <v>249</v>
      </c>
      <c r="F803" s="76" t="s">
        <v>65</v>
      </c>
      <c r="G803" s="52">
        <v>-500.79</v>
      </c>
      <c r="H803" s="32" t="s">
        <v>386</v>
      </c>
    </row>
    <row r="804" spans="1:9" ht="18.75">
      <c r="A804" t="s">
        <v>1353</v>
      </c>
      <c r="B804">
        <v>8</v>
      </c>
      <c r="C804">
        <v>2024</v>
      </c>
      <c r="D804" s="54">
        <v>45515</v>
      </c>
      <c r="E804" s="42" t="s">
        <v>249</v>
      </c>
      <c r="F804" s="76" t="s">
        <v>41</v>
      </c>
      <c r="G804" s="52">
        <v>-64.61</v>
      </c>
      <c r="H804" s="32" t="s">
        <v>1354</v>
      </c>
    </row>
    <row r="805" spans="1:9" ht="18.75">
      <c r="A805" t="s">
        <v>1355</v>
      </c>
      <c r="B805">
        <v>8</v>
      </c>
      <c r="C805">
        <v>2024</v>
      </c>
      <c r="D805" s="54">
        <v>45515</v>
      </c>
      <c r="E805" s="42" t="s">
        <v>249</v>
      </c>
      <c r="F805" s="76" t="s">
        <v>44</v>
      </c>
      <c r="G805" s="52">
        <v>-40.65</v>
      </c>
      <c r="H805" s="32" t="s">
        <v>1356</v>
      </c>
    </row>
    <row r="806" spans="1:9" ht="18.75">
      <c r="A806" t="s">
        <v>1357</v>
      </c>
      <c r="B806">
        <v>8</v>
      </c>
      <c r="C806">
        <v>2024</v>
      </c>
      <c r="D806" s="54">
        <v>45516</v>
      </c>
      <c r="E806" s="42" t="s">
        <v>160</v>
      </c>
      <c r="F806" s="76" t="s">
        <v>65</v>
      </c>
      <c r="G806" s="52">
        <v>-228.83</v>
      </c>
      <c r="H806" s="32" t="s">
        <v>334</v>
      </c>
      <c r="I806" s="32" t="s">
        <v>1358</v>
      </c>
    </row>
    <row r="807" spans="1:9" ht="18.75">
      <c r="A807" t="s">
        <v>1359</v>
      </c>
      <c r="B807">
        <v>8</v>
      </c>
      <c r="C807">
        <v>2024</v>
      </c>
      <c r="D807" s="54">
        <v>45516</v>
      </c>
      <c r="E807" s="42" t="s">
        <v>249</v>
      </c>
      <c r="F807" s="76" t="s">
        <v>57</v>
      </c>
      <c r="G807" s="52">
        <v>-114.66</v>
      </c>
      <c r="H807" s="32" t="s">
        <v>351</v>
      </c>
    </row>
    <row r="808" spans="1:9" ht="18.75">
      <c r="A808" t="s">
        <v>1360</v>
      </c>
      <c r="B808">
        <v>8</v>
      </c>
      <c r="C808">
        <v>2024</v>
      </c>
      <c r="D808" s="54">
        <v>45517</v>
      </c>
      <c r="E808" s="42" t="s">
        <v>160</v>
      </c>
      <c r="F808" s="76" t="s">
        <v>36</v>
      </c>
      <c r="G808" s="52">
        <v>-73.64</v>
      </c>
      <c r="H808" s="32" t="s">
        <v>1361</v>
      </c>
    </row>
    <row r="809" spans="1:9" ht="18.75">
      <c r="A809" t="s">
        <v>1362</v>
      </c>
      <c r="B809">
        <v>8</v>
      </c>
      <c r="C809">
        <v>2024</v>
      </c>
      <c r="D809" s="54">
        <v>45517</v>
      </c>
      <c r="E809" s="42" t="s">
        <v>249</v>
      </c>
      <c r="F809" s="76" t="s">
        <v>59</v>
      </c>
      <c r="G809" s="52">
        <v>-29.32</v>
      </c>
      <c r="H809" s="32" t="s">
        <v>359</v>
      </c>
    </row>
    <row r="810" spans="1:9" ht="18.75">
      <c r="A810" t="s">
        <v>1363</v>
      </c>
      <c r="B810">
        <v>8</v>
      </c>
      <c r="C810">
        <v>2024</v>
      </c>
      <c r="D810" s="54">
        <v>45517</v>
      </c>
      <c r="E810" s="42" t="s">
        <v>249</v>
      </c>
      <c r="F810" s="76" t="s">
        <v>44</v>
      </c>
      <c r="G810" s="52">
        <v>-18.079999999999998</v>
      </c>
      <c r="H810" s="32" t="s">
        <v>1364</v>
      </c>
    </row>
    <row r="811" spans="1:9" ht="18.75">
      <c r="A811" t="s">
        <v>1365</v>
      </c>
      <c r="B811">
        <v>8</v>
      </c>
      <c r="C811">
        <v>2024</v>
      </c>
      <c r="D811" s="54">
        <v>45519</v>
      </c>
      <c r="E811" s="42" t="s">
        <v>249</v>
      </c>
      <c r="F811" s="76" t="s">
        <v>34</v>
      </c>
      <c r="G811" s="52">
        <v>-81.23</v>
      </c>
      <c r="H811" s="32" t="s">
        <v>310</v>
      </c>
    </row>
    <row r="812" spans="1:9" ht="18.75">
      <c r="A812" t="s">
        <v>1366</v>
      </c>
      <c r="B812">
        <v>8</v>
      </c>
      <c r="C812">
        <v>2024</v>
      </c>
      <c r="D812" s="54">
        <v>45519</v>
      </c>
      <c r="E812" s="42" t="s">
        <v>249</v>
      </c>
      <c r="F812" s="76" t="s">
        <v>58</v>
      </c>
      <c r="G812" s="52">
        <v>-18.07</v>
      </c>
      <c r="H812" s="32" t="s">
        <v>1367</v>
      </c>
    </row>
    <row r="813" spans="1:9" ht="18.75">
      <c r="A813" t="s">
        <v>1368</v>
      </c>
      <c r="B813">
        <v>8</v>
      </c>
      <c r="C813">
        <v>2024</v>
      </c>
      <c r="D813" s="54">
        <v>45519</v>
      </c>
      <c r="E813" s="42" t="s">
        <v>160</v>
      </c>
      <c r="F813" s="76" t="s">
        <v>51</v>
      </c>
      <c r="G813" s="52">
        <v>-125.57</v>
      </c>
      <c r="H813" s="32" t="s">
        <v>210</v>
      </c>
    </row>
    <row r="814" spans="1:9" ht="18.75">
      <c r="A814" t="s">
        <v>1369</v>
      </c>
      <c r="B814">
        <v>8</v>
      </c>
      <c r="C814">
        <v>2024</v>
      </c>
      <c r="D814" s="54">
        <v>45519</v>
      </c>
      <c r="E814" s="42" t="s">
        <v>160</v>
      </c>
      <c r="F814" s="76" t="s">
        <v>64</v>
      </c>
      <c r="G814" s="52">
        <v>-294</v>
      </c>
      <c r="H814" s="32" t="s">
        <v>208</v>
      </c>
    </row>
    <row r="815" spans="1:9" ht="18.75">
      <c r="A815" t="s">
        <v>1370</v>
      </c>
      <c r="B815">
        <v>8</v>
      </c>
      <c r="C815">
        <v>2024</v>
      </c>
      <c r="D815" s="54">
        <v>45519</v>
      </c>
      <c r="E815" s="42" t="s">
        <v>160</v>
      </c>
      <c r="F815" s="76" t="s">
        <v>79</v>
      </c>
      <c r="G815" s="52">
        <v>1282.33</v>
      </c>
      <c r="H815" s="32" t="s">
        <v>190</v>
      </c>
    </row>
    <row r="816" spans="1:9" ht="18.75">
      <c r="A816" t="s">
        <v>1371</v>
      </c>
      <c r="B816">
        <v>8</v>
      </c>
      <c r="C816">
        <v>2024</v>
      </c>
      <c r="D816" s="54">
        <v>45519</v>
      </c>
      <c r="E816" s="42" t="s">
        <v>249</v>
      </c>
      <c r="F816" s="76" t="s">
        <v>57</v>
      </c>
      <c r="G816" s="52">
        <v>-40.65</v>
      </c>
      <c r="H816" s="32" t="s">
        <v>1372</v>
      </c>
    </row>
    <row r="817" spans="1:8" ht="18.75">
      <c r="A817" t="s">
        <v>1373</v>
      </c>
      <c r="B817">
        <v>8</v>
      </c>
      <c r="C817">
        <v>2024</v>
      </c>
      <c r="D817" s="54">
        <v>45519</v>
      </c>
      <c r="E817" s="42" t="s">
        <v>249</v>
      </c>
      <c r="F817" s="76" t="s">
        <v>50</v>
      </c>
      <c r="G817" s="52">
        <v>-24.95</v>
      </c>
      <c r="H817" s="32" t="s">
        <v>727</v>
      </c>
    </row>
    <row r="818" spans="1:8" ht="18.75">
      <c r="A818" t="s">
        <v>1374</v>
      </c>
      <c r="B818">
        <v>8</v>
      </c>
      <c r="C818">
        <v>2024</v>
      </c>
      <c r="D818" s="54">
        <v>45520</v>
      </c>
      <c r="E818" s="42" t="s">
        <v>249</v>
      </c>
      <c r="F818" s="76" t="s">
        <v>39</v>
      </c>
      <c r="G818" s="52">
        <v>-104.62</v>
      </c>
      <c r="H818" s="32" t="s">
        <v>304</v>
      </c>
    </row>
    <row r="819" spans="1:8" ht="18.75">
      <c r="A819" t="s">
        <v>1375</v>
      </c>
      <c r="B819">
        <v>8</v>
      </c>
      <c r="C819">
        <v>2024</v>
      </c>
      <c r="D819" s="54">
        <v>45520</v>
      </c>
      <c r="E819" s="42" t="s">
        <v>249</v>
      </c>
      <c r="F819" s="76" t="s">
        <v>79</v>
      </c>
      <c r="G819" s="52">
        <v>3718.26</v>
      </c>
      <c r="H819" s="32" t="s">
        <v>306</v>
      </c>
    </row>
    <row r="820" spans="1:8" ht="18.75">
      <c r="A820" t="s">
        <v>1376</v>
      </c>
      <c r="B820">
        <v>8</v>
      </c>
      <c r="C820">
        <v>2024</v>
      </c>
      <c r="D820" s="54">
        <v>45520</v>
      </c>
      <c r="E820" s="42" t="s">
        <v>249</v>
      </c>
      <c r="F820" s="76" t="s">
        <v>57</v>
      </c>
      <c r="G820" s="52">
        <v>-6.98</v>
      </c>
      <c r="H820" s="32" t="s">
        <v>310</v>
      </c>
    </row>
    <row r="821" spans="1:8" ht="18.75">
      <c r="A821" t="s">
        <v>1377</v>
      </c>
      <c r="B821">
        <v>8</v>
      </c>
      <c r="C821">
        <v>2024</v>
      </c>
      <c r="D821" s="54">
        <v>45520</v>
      </c>
      <c r="E821" s="42" t="s">
        <v>249</v>
      </c>
      <c r="F821" s="76" t="s">
        <v>54</v>
      </c>
      <c r="G821" s="52">
        <v>-2.63</v>
      </c>
      <c r="H821" s="32" t="s">
        <v>1378</v>
      </c>
    </row>
    <row r="822" spans="1:8" ht="18.75">
      <c r="A822" t="s">
        <v>1379</v>
      </c>
      <c r="B822">
        <v>9</v>
      </c>
      <c r="C822">
        <v>2024</v>
      </c>
      <c r="D822" s="54">
        <v>45538</v>
      </c>
      <c r="E822" s="42" t="s">
        <v>160</v>
      </c>
      <c r="F822" s="76" t="s">
        <v>49</v>
      </c>
      <c r="G822" s="52">
        <v>-50</v>
      </c>
      <c r="H822" s="32" t="s">
        <v>161</v>
      </c>
    </row>
    <row r="823" spans="1:8" ht="18.75">
      <c r="A823" t="s">
        <v>1380</v>
      </c>
      <c r="B823">
        <v>8</v>
      </c>
      <c r="C823">
        <v>2024</v>
      </c>
      <c r="D823" s="54">
        <v>45523</v>
      </c>
      <c r="E823" s="42" t="s">
        <v>160</v>
      </c>
      <c r="F823" s="76" t="s">
        <v>79</v>
      </c>
      <c r="G823" s="52">
        <v>-3718.26</v>
      </c>
      <c r="H823" s="32" t="s">
        <v>214</v>
      </c>
    </row>
    <row r="824" spans="1:8" ht="18.75">
      <c r="A824" t="s">
        <v>1381</v>
      </c>
      <c r="B824">
        <v>8</v>
      </c>
      <c r="C824">
        <v>2024</v>
      </c>
      <c r="D824" s="54">
        <v>45523</v>
      </c>
      <c r="E824" s="42" t="s">
        <v>249</v>
      </c>
      <c r="F824" s="76" t="s">
        <v>65</v>
      </c>
      <c r="G824" s="52">
        <v>-25.62</v>
      </c>
      <c r="H824" s="32" t="s">
        <v>601</v>
      </c>
    </row>
    <row r="825" spans="1:8" ht="18.75">
      <c r="A825" t="s">
        <v>1382</v>
      </c>
      <c r="B825">
        <v>8</v>
      </c>
      <c r="C825">
        <v>2024</v>
      </c>
      <c r="D825" s="54">
        <v>45523</v>
      </c>
      <c r="E825" s="42" t="s">
        <v>249</v>
      </c>
      <c r="F825" s="76" t="s">
        <v>57</v>
      </c>
      <c r="G825" s="52">
        <v>-119.23</v>
      </c>
      <c r="H825" s="32" t="s">
        <v>351</v>
      </c>
    </row>
    <row r="826" spans="1:8" ht="18.75">
      <c r="A826" t="s">
        <v>1383</v>
      </c>
      <c r="B826">
        <v>8</v>
      </c>
      <c r="C826">
        <v>2024</v>
      </c>
      <c r="D826" s="54">
        <v>45524</v>
      </c>
      <c r="E826" s="42" t="s">
        <v>160</v>
      </c>
      <c r="F826" s="76" t="s">
        <v>43</v>
      </c>
      <c r="G826" s="52">
        <v>-9.0299999999999994</v>
      </c>
      <c r="H826" s="32" t="s">
        <v>163</v>
      </c>
    </row>
    <row r="827" spans="1:8" ht="18.75">
      <c r="A827" t="s">
        <v>1384</v>
      </c>
      <c r="B827">
        <v>8</v>
      </c>
      <c r="C827">
        <v>2024</v>
      </c>
      <c r="D827" s="54">
        <v>45525</v>
      </c>
      <c r="E827" s="42" t="s">
        <v>160</v>
      </c>
      <c r="F827" s="76" t="s">
        <v>63</v>
      </c>
      <c r="G827" s="52">
        <v>-80.989999999999995</v>
      </c>
      <c r="H827" s="32" t="s">
        <v>224</v>
      </c>
    </row>
    <row r="828" spans="1:8" ht="18.75">
      <c r="A828" t="s">
        <v>1385</v>
      </c>
      <c r="B828">
        <v>8</v>
      </c>
      <c r="C828">
        <v>2024</v>
      </c>
      <c r="D828" s="54">
        <v>45526</v>
      </c>
      <c r="E828" s="42" t="s">
        <v>249</v>
      </c>
      <c r="F828" s="76" t="s">
        <v>53</v>
      </c>
      <c r="G828" s="52">
        <v>-37.119999999999997</v>
      </c>
      <c r="H828" s="32" t="s">
        <v>1386</v>
      </c>
    </row>
    <row r="829" spans="1:8" ht="18.75">
      <c r="A829" t="s">
        <v>1387</v>
      </c>
      <c r="B829">
        <v>8</v>
      </c>
      <c r="C829">
        <v>2024</v>
      </c>
      <c r="D829" s="54">
        <v>45526</v>
      </c>
      <c r="E829" s="42" t="s">
        <v>160</v>
      </c>
      <c r="F829" s="76" t="s">
        <v>48</v>
      </c>
      <c r="G829" s="52">
        <v>-0.52</v>
      </c>
      <c r="H829" s="32" t="s">
        <v>220</v>
      </c>
    </row>
    <row r="830" spans="1:8" ht="18.75">
      <c r="A830" t="s">
        <v>1388</v>
      </c>
      <c r="B830">
        <v>8</v>
      </c>
      <c r="C830">
        <v>2024</v>
      </c>
      <c r="D830" s="54">
        <v>45526</v>
      </c>
      <c r="E830" s="42" t="s">
        <v>249</v>
      </c>
      <c r="F830" s="76" t="s">
        <v>65</v>
      </c>
      <c r="G830" s="52">
        <v>-22.43</v>
      </c>
      <c r="H830" s="32" t="s">
        <v>1389</v>
      </c>
    </row>
    <row r="831" spans="1:8" ht="18.75">
      <c r="A831" t="s">
        <v>1390</v>
      </c>
      <c r="B831">
        <v>8</v>
      </c>
      <c r="C831">
        <v>2024</v>
      </c>
      <c r="D831" s="54">
        <v>45526</v>
      </c>
      <c r="E831" s="42" t="s">
        <v>249</v>
      </c>
      <c r="F831" s="76" t="s">
        <v>57</v>
      </c>
      <c r="G831" s="52">
        <v>-12.28</v>
      </c>
      <c r="H831" s="32" t="s">
        <v>351</v>
      </c>
    </row>
    <row r="832" spans="1:8" ht="18.75">
      <c r="A832" t="s">
        <v>1391</v>
      </c>
      <c r="B832">
        <v>8</v>
      </c>
      <c r="C832">
        <v>2024</v>
      </c>
      <c r="D832" s="54">
        <v>45526</v>
      </c>
      <c r="E832" s="42" t="s">
        <v>249</v>
      </c>
      <c r="F832" s="76" t="s">
        <v>54</v>
      </c>
      <c r="G832" s="52">
        <v>-15.8</v>
      </c>
      <c r="H832" s="32" t="s">
        <v>551</v>
      </c>
    </row>
    <row r="833" spans="1:12" ht="18.75">
      <c r="A833" t="s">
        <v>1392</v>
      </c>
      <c r="B833">
        <v>8</v>
      </c>
      <c r="C833">
        <v>2024</v>
      </c>
      <c r="D833" s="54">
        <v>45526</v>
      </c>
      <c r="E833" s="42" t="s">
        <v>249</v>
      </c>
      <c r="F833" s="76" t="s">
        <v>62</v>
      </c>
      <c r="G833" s="52">
        <v>-131.35</v>
      </c>
      <c r="H833" s="32" t="s">
        <v>1393</v>
      </c>
    </row>
    <row r="834" spans="1:12" ht="18.75">
      <c r="A834" t="s">
        <v>1394</v>
      </c>
      <c r="B834">
        <v>8</v>
      </c>
      <c r="C834">
        <v>2024</v>
      </c>
      <c r="D834" s="54">
        <v>45527</v>
      </c>
      <c r="E834" s="42" t="s">
        <v>160</v>
      </c>
      <c r="F834" s="76" t="s">
        <v>33</v>
      </c>
      <c r="G834" s="52">
        <v>-443.25</v>
      </c>
      <c r="H834" s="32" t="s">
        <v>169</v>
      </c>
    </row>
    <row r="835" spans="1:12" ht="18.75">
      <c r="A835" t="s">
        <v>1395</v>
      </c>
      <c r="B835">
        <v>8</v>
      </c>
      <c r="C835">
        <v>2024</v>
      </c>
      <c r="D835" s="54">
        <v>45527</v>
      </c>
      <c r="E835" s="42" t="s">
        <v>160</v>
      </c>
      <c r="F835" s="76" t="s">
        <v>48</v>
      </c>
      <c r="G835" s="52">
        <v>-4</v>
      </c>
      <c r="H835" s="32" t="s">
        <v>228</v>
      </c>
    </row>
    <row r="836" spans="1:12" ht="18.75">
      <c r="A836" t="s">
        <v>1396</v>
      </c>
      <c r="B836">
        <v>8</v>
      </c>
      <c r="C836">
        <v>2024</v>
      </c>
      <c r="D836" s="54">
        <v>45527</v>
      </c>
      <c r="E836" s="42" t="s">
        <v>160</v>
      </c>
      <c r="F836" s="76" t="s">
        <v>48</v>
      </c>
      <c r="G836" s="52">
        <v>-5</v>
      </c>
      <c r="H836" s="32" t="s">
        <v>1397</v>
      </c>
    </row>
    <row r="837" spans="1:12" ht="18.75">
      <c r="A837" t="s">
        <v>1398</v>
      </c>
      <c r="B837">
        <v>8</v>
      </c>
      <c r="C837">
        <v>2024</v>
      </c>
      <c r="D837" s="54">
        <v>45527</v>
      </c>
      <c r="E837" s="42" t="s">
        <v>160</v>
      </c>
      <c r="F837" s="76" t="s">
        <v>79</v>
      </c>
      <c r="G837" s="52">
        <v>2046.79</v>
      </c>
      <c r="H837" s="32" t="s">
        <v>171</v>
      </c>
    </row>
    <row r="838" spans="1:12" ht="18.75">
      <c r="A838" t="s">
        <v>1399</v>
      </c>
      <c r="B838">
        <v>8</v>
      </c>
      <c r="C838">
        <v>2024</v>
      </c>
      <c r="D838" s="54">
        <v>45527</v>
      </c>
      <c r="E838" s="42" t="s">
        <v>249</v>
      </c>
      <c r="F838" s="76" t="s">
        <v>66</v>
      </c>
      <c r="G838" s="52">
        <v>90</v>
      </c>
      <c r="H838" s="32" t="s">
        <v>402</v>
      </c>
      <c r="I838" s="32" t="s">
        <v>1400</v>
      </c>
    </row>
    <row r="839" spans="1:12" ht="18.75">
      <c r="A839" t="s">
        <v>1401</v>
      </c>
      <c r="B839">
        <v>8</v>
      </c>
      <c r="C839">
        <v>2024</v>
      </c>
      <c r="D839" s="54">
        <v>45529</v>
      </c>
      <c r="E839" s="42" t="s">
        <v>249</v>
      </c>
      <c r="F839" s="76" t="s">
        <v>41</v>
      </c>
      <c r="G839" s="52">
        <v>-38.06</v>
      </c>
      <c r="H839" s="32" t="s">
        <v>1402</v>
      </c>
    </row>
    <row r="840" spans="1:12" ht="18.75">
      <c r="A840" t="s">
        <v>1403</v>
      </c>
      <c r="B840">
        <v>8</v>
      </c>
      <c r="C840">
        <v>2024</v>
      </c>
      <c r="D840" s="54">
        <v>45530</v>
      </c>
      <c r="E840" s="42" t="s">
        <v>249</v>
      </c>
      <c r="F840" s="76" t="s">
        <v>58</v>
      </c>
      <c r="G840" s="52">
        <v>-26.1</v>
      </c>
      <c r="H840" s="32" t="s">
        <v>1404</v>
      </c>
      <c r="L840" t="s">
        <v>298</v>
      </c>
    </row>
    <row r="841" spans="1:12" ht="18.75">
      <c r="A841" t="s">
        <v>1405</v>
      </c>
      <c r="B841">
        <v>8</v>
      </c>
      <c r="C841">
        <v>2024</v>
      </c>
      <c r="D841" s="54">
        <v>45530</v>
      </c>
      <c r="E841" s="42" t="s">
        <v>249</v>
      </c>
      <c r="F841" s="76" t="s">
        <v>57</v>
      </c>
      <c r="G841" s="52">
        <v>-70.099999999999994</v>
      </c>
      <c r="H841" s="32" t="s">
        <v>351</v>
      </c>
      <c r="L841" t="s">
        <v>298</v>
      </c>
    </row>
    <row r="842" spans="1:12" ht="18.75">
      <c r="A842" t="s">
        <v>1406</v>
      </c>
      <c r="B842">
        <v>8</v>
      </c>
      <c r="C842">
        <v>2024</v>
      </c>
      <c r="D842" s="54">
        <v>45530</v>
      </c>
      <c r="E842" s="42" t="s">
        <v>249</v>
      </c>
      <c r="F842" s="76" t="s">
        <v>57</v>
      </c>
      <c r="G842" s="52">
        <v>-13.3</v>
      </c>
      <c r="H842" s="32" t="s">
        <v>282</v>
      </c>
    </row>
    <row r="843" spans="1:12" ht="18.75">
      <c r="A843" s="77" t="s">
        <v>1407</v>
      </c>
      <c r="B843">
        <v>8</v>
      </c>
      <c r="C843">
        <v>2024</v>
      </c>
      <c r="D843" s="54">
        <v>45530</v>
      </c>
      <c r="E843" s="42" t="s">
        <v>160</v>
      </c>
      <c r="F843" s="76" t="s">
        <v>29</v>
      </c>
      <c r="G843" s="52">
        <v>-225.75</v>
      </c>
      <c r="H843" s="32" t="s">
        <v>167</v>
      </c>
    </row>
    <row r="844" spans="1:12" ht="18.75">
      <c r="A844" t="s">
        <v>1408</v>
      </c>
      <c r="B844">
        <v>8</v>
      </c>
      <c r="C844">
        <v>2024</v>
      </c>
      <c r="D844" s="54">
        <v>45532</v>
      </c>
      <c r="E844" s="42" t="s">
        <v>249</v>
      </c>
      <c r="F844" s="76" t="s">
        <v>32</v>
      </c>
      <c r="G844" s="52">
        <v>-183.83</v>
      </c>
      <c r="H844" s="32" t="s">
        <v>1409</v>
      </c>
    </row>
    <row r="845" spans="1:12" ht="18.75">
      <c r="A845" t="s">
        <v>1410</v>
      </c>
      <c r="B845">
        <v>8</v>
      </c>
      <c r="C845">
        <v>2024</v>
      </c>
      <c r="D845" s="54">
        <v>45533</v>
      </c>
      <c r="E845" s="42" t="s">
        <v>249</v>
      </c>
      <c r="F845" s="76" t="s">
        <v>45</v>
      </c>
      <c r="G845" s="52">
        <v>-35.020000000000003</v>
      </c>
      <c r="H845" s="32" t="s">
        <v>1411</v>
      </c>
    </row>
    <row r="846" spans="1:12" ht="18.75">
      <c r="A846" t="s">
        <v>1412</v>
      </c>
      <c r="B846">
        <v>8</v>
      </c>
      <c r="C846">
        <v>2024</v>
      </c>
      <c r="D846" s="54">
        <v>45533</v>
      </c>
      <c r="E846" s="42" t="s">
        <v>249</v>
      </c>
      <c r="F846" s="76" t="s">
        <v>45</v>
      </c>
      <c r="G846" s="52">
        <v>-26</v>
      </c>
      <c r="H846" s="32" t="s">
        <v>1121</v>
      </c>
    </row>
    <row r="847" spans="1:12" ht="18.75">
      <c r="A847" t="s">
        <v>1413</v>
      </c>
      <c r="B847">
        <v>8</v>
      </c>
      <c r="C847">
        <v>2024</v>
      </c>
      <c r="D847" s="54">
        <v>45533</v>
      </c>
      <c r="E847" s="42" t="s">
        <v>160</v>
      </c>
      <c r="F847" s="76" t="s">
        <v>79</v>
      </c>
      <c r="G847" s="52">
        <v>1354.92</v>
      </c>
      <c r="H847" s="32" t="s">
        <v>190</v>
      </c>
    </row>
    <row r="848" spans="1:12" ht="18.75">
      <c r="A848" t="s">
        <v>1414</v>
      </c>
      <c r="B848">
        <v>8</v>
      </c>
      <c r="C848">
        <v>2024</v>
      </c>
      <c r="D848" s="54">
        <v>45533</v>
      </c>
      <c r="E848" s="42" t="s">
        <v>249</v>
      </c>
      <c r="F848" s="76" t="s">
        <v>54</v>
      </c>
      <c r="G848" s="52">
        <v>-2.61</v>
      </c>
      <c r="H848" s="32" t="s">
        <v>1415</v>
      </c>
    </row>
    <row r="849" spans="1:8" ht="18.75">
      <c r="A849" t="s">
        <v>1416</v>
      </c>
      <c r="B849">
        <v>8</v>
      </c>
      <c r="C849">
        <v>2024</v>
      </c>
      <c r="D849" s="54">
        <v>45533</v>
      </c>
      <c r="E849" s="42" t="s">
        <v>249</v>
      </c>
      <c r="F849" s="76" t="s">
        <v>54</v>
      </c>
      <c r="G849" s="52">
        <v>-5.63</v>
      </c>
      <c r="H849" s="32" t="s">
        <v>1417</v>
      </c>
    </row>
    <row r="850" spans="1:8" ht="18.75">
      <c r="A850" t="s">
        <v>1418</v>
      </c>
      <c r="B850">
        <v>8</v>
      </c>
      <c r="C850">
        <v>2024</v>
      </c>
      <c r="D850" s="54">
        <v>45533</v>
      </c>
      <c r="E850" s="42" t="s">
        <v>249</v>
      </c>
      <c r="F850" s="76" t="s">
        <v>32</v>
      </c>
      <c r="G850" s="52">
        <v>-53.36</v>
      </c>
      <c r="H850" s="32" t="s">
        <v>1419</v>
      </c>
    </row>
    <row r="851" spans="1:8" ht="18.75">
      <c r="A851" t="s">
        <v>1420</v>
      </c>
      <c r="B851">
        <v>8</v>
      </c>
      <c r="C851">
        <v>2024</v>
      </c>
      <c r="D851" s="54">
        <v>45535</v>
      </c>
      <c r="E851" s="42" t="s">
        <v>249</v>
      </c>
      <c r="F851" s="76" t="s">
        <v>79</v>
      </c>
      <c r="G851" s="52">
        <v>59.87</v>
      </c>
      <c r="H851" s="32" t="s">
        <v>402</v>
      </c>
    </row>
    <row r="852" spans="1:8" ht="18.75">
      <c r="A852" t="s">
        <v>1421</v>
      </c>
      <c r="B852">
        <v>8</v>
      </c>
      <c r="C852">
        <v>2024</v>
      </c>
      <c r="D852" s="54">
        <v>45535</v>
      </c>
      <c r="E852" s="42" t="s">
        <v>249</v>
      </c>
      <c r="F852" s="76" t="s">
        <v>44</v>
      </c>
      <c r="G852" s="52">
        <v>-33.9</v>
      </c>
      <c r="H852" s="32" t="s">
        <v>1422</v>
      </c>
    </row>
    <row r="853" spans="1:8" ht="18.75">
      <c r="A853" t="s">
        <v>1423</v>
      </c>
      <c r="B853">
        <v>9</v>
      </c>
      <c r="C853">
        <v>2024</v>
      </c>
      <c r="D853" s="54">
        <v>45536</v>
      </c>
      <c r="E853" s="42" t="s">
        <v>249</v>
      </c>
      <c r="F853" s="76" t="s">
        <v>79</v>
      </c>
      <c r="G853" s="52">
        <v>-59.87</v>
      </c>
      <c r="H853" s="32" t="s">
        <v>1424</v>
      </c>
    </row>
    <row r="854" spans="1:8" ht="18.75">
      <c r="A854" t="s">
        <v>1425</v>
      </c>
      <c r="B854">
        <v>9</v>
      </c>
      <c r="C854">
        <v>2024</v>
      </c>
      <c r="D854" s="54">
        <v>45537</v>
      </c>
      <c r="E854" s="42" t="s">
        <v>249</v>
      </c>
      <c r="F854" s="76" t="s">
        <v>34</v>
      </c>
      <c r="G854" s="52">
        <v>-5</v>
      </c>
      <c r="H854" s="32" t="s">
        <v>1426</v>
      </c>
    </row>
    <row r="855" spans="1:8" ht="18.75">
      <c r="A855" t="s">
        <v>1427</v>
      </c>
      <c r="B855">
        <v>9</v>
      </c>
      <c r="C855">
        <v>2024</v>
      </c>
      <c r="D855" s="54">
        <v>45537</v>
      </c>
      <c r="E855" s="42" t="s">
        <v>249</v>
      </c>
      <c r="F855" s="76" t="s">
        <v>34</v>
      </c>
      <c r="G855" s="52">
        <v>-110</v>
      </c>
      <c r="H855" s="32" t="s">
        <v>1426</v>
      </c>
    </row>
    <row r="856" spans="1:8" ht="18.75">
      <c r="A856" t="s">
        <v>1428</v>
      </c>
      <c r="B856">
        <v>9</v>
      </c>
      <c r="C856">
        <v>2024</v>
      </c>
      <c r="D856" s="54">
        <v>45537</v>
      </c>
      <c r="E856" s="42" t="s">
        <v>249</v>
      </c>
      <c r="F856" s="76" t="s">
        <v>54</v>
      </c>
      <c r="G856" s="52">
        <v>-19.190000000000001</v>
      </c>
      <c r="H856" s="32" t="s">
        <v>260</v>
      </c>
    </row>
    <row r="857" spans="1:8" ht="18.75">
      <c r="A857" t="s">
        <v>1429</v>
      </c>
      <c r="B857">
        <v>9</v>
      </c>
      <c r="C857">
        <v>2024</v>
      </c>
      <c r="D857" s="54">
        <v>45537</v>
      </c>
      <c r="E857" s="42" t="s">
        <v>249</v>
      </c>
      <c r="F857" s="76" t="s">
        <v>54</v>
      </c>
      <c r="G857" s="52">
        <v>-4.18</v>
      </c>
      <c r="H857" s="32" t="s">
        <v>1430</v>
      </c>
    </row>
    <row r="858" spans="1:8" ht="18.75">
      <c r="A858" t="s">
        <v>1431</v>
      </c>
      <c r="B858">
        <v>9</v>
      </c>
      <c r="C858">
        <v>2024</v>
      </c>
      <c r="D858" s="54">
        <v>45538</v>
      </c>
      <c r="E858" s="42" t="s">
        <v>160</v>
      </c>
      <c r="F858" s="76" t="s">
        <v>49</v>
      </c>
      <c r="G858" s="52">
        <v>-50</v>
      </c>
      <c r="H858" s="32" t="s">
        <v>173</v>
      </c>
    </row>
    <row r="859" spans="1:8" ht="18.75">
      <c r="A859" t="s">
        <v>1432</v>
      </c>
      <c r="B859">
        <v>9</v>
      </c>
      <c r="C859">
        <v>2024</v>
      </c>
      <c r="D859" s="54">
        <v>45551</v>
      </c>
      <c r="E859" s="42" t="s">
        <v>160</v>
      </c>
      <c r="F859" s="76" t="s">
        <v>49</v>
      </c>
      <c r="G859" s="52">
        <v>-50</v>
      </c>
      <c r="H859" s="32" t="s">
        <v>161</v>
      </c>
    </row>
    <row r="860" spans="1:8" ht="18.75">
      <c r="A860" t="s">
        <v>1433</v>
      </c>
      <c r="B860">
        <v>9</v>
      </c>
      <c r="C860">
        <v>2024</v>
      </c>
      <c r="D860" s="54">
        <v>45538</v>
      </c>
      <c r="E860" s="42" t="s">
        <v>146</v>
      </c>
      <c r="F860" s="76" t="s">
        <v>48</v>
      </c>
      <c r="G860" s="52">
        <v>3.74</v>
      </c>
      <c r="H860" s="32" t="s">
        <v>175</v>
      </c>
    </row>
    <row r="861" spans="1:8" ht="18.75">
      <c r="A861" t="s">
        <v>1434</v>
      </c>
      <c r="B861">
        <v>9</v>
      </c>
      <c r="C861">
        <v>2024</v>
      </c>
      <c r="D861" s="54">
        <v>45538</v>
      </c>
      <c r="E861" s="42" t="s">
        <v>146</v>
      </c>
      <c r="F861" s="76" t="s">
        <v>79</v>
      </c>
      <c r="G861" s="52">
        <v>2080</v>
      </c>
      <c r="H861" s="32" t="s">
        <v>1435</v>
      </c>
    </row>
    <row r="862" spans="1:8" ht="18.75">
      <c r="A862" t="s">
        <v>1436</v>
      </c>
      <c r="B862">
        <v>9</v>
      </c>
      <c r="C862">
        <v>2024</v>
      </c>
      <c r="D862" s="54">
        <v>45538</v>
      </c>
      <c r="E862" s="42" t="s">
        <v>160</v>
      </c>
      <c r="F862" s="76" t="s">
        <v>79</v>
      </c>
      <c r="G862" s="52">
        <v>-2080</v>
      </c>
      <c r="H862" s="32" t="s">
        <v>1437</v>
      </c>
    </row>
    <row r="863" spans="1:8" ht="18.75">
      <c r="A863" t="s">
        <v>1438</v>
      </c>
      <c r="B863">
        <v>9</v>
      </c>
      <c r="C863">
        <v>2024</v>
      </c>
      <c r="D863" s="54">
        <v>45538</v>
      </c>
      <c r="E863" s="42" t="s">
        <v>160</v>
      </c>
      <c r="F863" s="76" t="s">
        <v>43</v>
      </c>
      <c r="G863" s="52">
        <v>-9.0299999999999994</v>
      </c>
      <c r="H863" s="32" t="s">
        <v>163</v>
      </c>
    </row>
    <row r="864" spans="1:8" ht="18.75">
      <c r="A864" t="s">
        <v>1439</v>
      </c>
      <c r="B864">
        <v>9</v>
      </c>
      <c r="C864">
        <v>2024</v>
      </c>
      <c r="D864" s="54">
        <v>45538</v>
      </c>
      <c r="E864" s="42" t="s">
        <v>249</v>
      </c>
      <c r="F864" s="76" t="s">
        <v>57</v>
      </c>
      <c r="G864" s="52">
        <v>-83.5</v>
      </c>
      <c r="H864" s="32" t="s">
        <v>351</v>
      </c>
    </row>
    <row r="865" spans="1:9" ht="18.75">
      <c r="A865" t="s">
        <v>1440</v>
      </c>
      <c r="B865">
        <v>9</v>
      </c>
      <c r="C865">
        <v>2024</v>
      </c>
      <c r="D865" s="54">
        <v>45538</v>
      </c>
      <c r="E865" s="42" t="s">
        <v>160</v>
      </c>
      <c r="F865" s="76" t="s">
        <v>40</v>
      </c>
      <c r="G865" s="52">
        <v>-100</v>
      </c>
      <c r="H865" s="32" t="s">
        <v>1441</v>
      </c>
    </row>
    <row r="866" spans="1:9" ht="18.75">
      <c r="A866" t="s">
        <v>1442</v>
      </c>
      <c r="B866">
        <v>9</v>
      </c>
      <c r="C866">
        <v>2024</v>
      </c>
      <c r="D866" s="54">
        <v>45538</v>
      </c>
      <c r="E866" s="42" t="s">
        <v>160</v>
      </c>
      <c r="F866" s="76" t="s">
        <v>40</v>
      </c>
      <c r="G866" s="52">
        <v>-100</v>
      </c>
      <c r="H866" s="32" t="s">
        <v>1443</v>
      </c>
    </row>
    <row r="867" spans="1:9" ht="18.75">
      <c r="B867">
        <v>9</v>
      </c>
      <c r="C867">
        <v>2024</v>
      </c>
      <c r="D867" s="54">
        <v>45539</v>
      </c>
      <c r="F867" s="76" t="s">
        <v>45</v>
      </c>
      <c r="G867" s="52">
        <v>34.229999999999997</v>
      </c>
    </row>
    <row r="868" spans="1:9" ht="18.75">
      <c r="B868">
        <v>9</v>
      </c>
      <c r="C868">
        <v>2024</v>
      </c>
      <c r="D868" s="54">
        <v>45539</v>
      </c>
      <c r="F868" s="76" t="s">
        <v>39</v>
      </c>
      <c r="G868">
        <f>104.62-72.98</f>
        <v>31.64</v>
      </c>
      <c r="I868" s="32" t="s">
        <v>584</v>
      </c>
    </row>
    <row r="869" spans="1:9" ht="18.75">
      <c r="B869">
        <v>9</v>
      </c>
      <c r="C869">
        <v>2024</v>
      </c>
      <c r="D869" s="54">
        <v>45539</v>
      </c>
      <c r="F869" s="76" t="s">
        <v>35</v>
      </c>
      <c r="G869" s="52">
        <v>13.56</v>
      </c>
    </row>
    <row r="870" spans="1:9" ht="18.75">
      <c r="A870" t="s">
        <v>1444</v>
      </c>
      <c r="B870">
        <v>9</v>
      </c>
      <c r="C870">
        <v>2024</v>
      </c>
      <c r="D870" s="54">
        <v>45539</v>
      </c>
      <c r="E870" s="42" t="s">
        <v>249</v>
      </c>
      <c r="F870" s="76" t="s">
        <v>57</v>
      </c>
      <c r="G870" s="52">
        <v>-24.98</v>
      </c>
      <c r="H870" s="32" t="s">
        <v>1445</v>
      </c>
    </row>
    <row r="871" spans="1:9" ht="18.75">
      <c r="B871">
        <v>9</v>
      </c>
      <c r="C871">
        <v>2024</v>
      </c>
      <c r="D871" s="54">
        <v>45539</v>
      </c>
      <c r="F871" s="76" t="s">
        <v>187</v>
      </c>
      <c r="G871" s="52">
        <v>-13.56</v>
      </c>
    </row>
    <row r="872" spans="1:9" ht="18.75">
      <c r="B872">
        <v>9</v>
      </c>
      <c r="C872">
        <v>2024</v>
      </c>
      <c r="D872" s="54">
        <v>45539</v>
      </c>
      <c r="F872" s="76" t="s">
        <v>187</v>
      </c>
      <c r="G872" s="52">
        <v>-31.64</v>
      </c>
      <c r="I872" s="32" t="s">
        <v>1446</v>
      </c>
    </row>
    <row r="873" spans="1:9" ht="18.75">
      <c r="B873">
        <v>9</v>
      </c>
      <c r="C873">
        <v>2024</v>
      </c>
      <c r="D873" s="54">
        <v>45539</v>
      </c>
      <c r="F873" s="76" t="s">
        <v>187</v>
      </c>
      <c r="G873" s="52">
        <v>-34.229999999999997</v>
      </c>
    </row>
    <row r="874" spans="1:9" ht="18.75">
      <c r="B874">
        <v>9</v>
      </c>
      <c r="C874">
        <v>2024</v>
      </c>
      <c r="D874" s="54">
        <v>45539</v>
      </c>
      <c r="F874" s="76" t="s">
        <v>187</v>
      </c>
      <c r="G874" s="52">
        <v>-170.57</v>
      </c>
    </row>
    <row r="875" spans="1:9" ht="18.75">
      <c r="B875">
        <v>9</v>
      </c>
      <c r="C875">
        <v>2024</v>
      </c>
      <c r="D875" s="54">
        <v>45539</v>
      </c>
      <c r="F875" s="76" t="s">
        <v>32</v>
      </c>
      <c r="G875" s="52">
        <v>170.57</v>
      </c>
    </row>
    <row r="876" spans="1:9" ht="18.75">
      <c r="A876" t="s">
        <v>1447</v>
      </c>
      <c r="B876">
        <v>9</v>
      </c>
      <c r="C876">
        <v>2024</v>
      </c>
      <c r="D876" s="54">
        <v>45540</v>
      </c>
      <c r="E876" s="42" t="s">
        <v>160</v>
      </c>
      <c r="F876" s="76" t="s">
        <v>79</v>
      </c>
      <c r="G876" s="52">
        <v>349.06</v>
      </c>
      <c r="H876" s="32" t="s">
        <v>1448</v>
      </c>
    </row>
    <row r="877" spans="1:9" ht="18.75">
      <c r="A877" t="s">
        <v>1449</v>
      </c>
      <c r="B877">
        <v>9</v>
      </c>
      <c r="C877">
        <v>2024</v>
      </c>
      <c r="D877" s="54">
        <v>45540</v>
      </c>
      <c r="E877" s="42" t="s">
        <v>146</v>
      </c>
      <c r="F877" s="76" t="s">
        <v>79</v>
      </c>
      <c r="G877" s="52">
        <v>-349.06</v>
      </c>
      <c r="H877" s="32" t="s">
        <v>1450</v>
      </c>
    </row>
    <row r="878" spans="1:9" ht="18.75">
      <c r="A878" s="77" t="s">
        <v>1451</v>
      </c>
      <c r="B878">
        <v>9</v>
      </c>
      <c r="C878">
        <v>2024</v>
      </c>
      <c r="D878" s="54">
        <v>45540</v>
      </c>
      <c r="E878" s="42" t="s">
        <v>249</v>
      </c>
      <c r="F878" s="76" t="s">
        <v>65</v>
      </c>
      <c r="G878" s="52">
        <v>-9.4700000000000006</v>
      </c>
      <c r="H878" s="32" t="s">
        <v>601</v>
      </c>
    </row>
    <row r="879" spans="1:9" ht="18.75">
      <c r="A879" t="s">
        <v>1452</v>
      </c>
      <c r="B879">
        <v>9</v>
      </c>
      <c r="C879">
        <v>2024</v>
      </c>
      <c r="D879" s="54">
        <v>45540</v>
      </c>
      <c r="E879" s="42" t="s">
        <v>160</v>
      </c>
      <c r="F879" s="76" t="s">
        <v>30</v>
      </c>
      <c r="G879" s="52">
        <v>-214.82</v>
      </c>
      <c r="H879" s="32" t="s">
        <v>196</v>
      </c>
    </row>
    <row r="880" spans="1:9" ht="18.75">
      <c r="A880" t="s">
        <v>1453</v>
      </c>
      <c r="B880">
        <v>9</v>
      </c>
      <c r="C880">
        <v>2024</v>
      </c>
      <c r="D880" s="54">
        <v>45540</v>
      </c>
      <c r="E880" s="42" t="s">
        <v>249</v>
      </c>
      <c r="F880" s="76" t="s">
        <v>57</v>
      </c>
      <c r="G880" s="52">
        <v>-16.43</v>
      </c>
      <c r="H880" s="32" t="s">
        <v>282</v>
      </c>
    </row>
    <row r="881" spans="1:8" ht="18.75">
      <c r="A881" s="77" t="s">
        <v>1454</v>
      </c>
      <c r="B881">
        <v>9</v>
      </c>
      <c r="C881">
        <v>2024</v>
      </c>
      <c r="D881" s="54">
        <v>45541</v>
      </c>
      <c r="E881" s="42" t="s">
        <v>160</v>
      </c>
      <c r="F881" s="76" t="s">
        <v>33</v>
      </c>
      <c r="G881" s="52">
        <v>-443.25</v>
      </c>
      <c r="H881" s="32" t="s">
        <v>169</v>
      </c>
    </row>
    <row r="882" spans="1:8" ht="18.75">
      <c r="A882" t="s">
        <v>1455</v>
      </c>
      <c r="B882">
        <v>9</v>
      </c>
      <c r="C882">
        <v>2024</v>
      </c>
      <c r="D882" s="54">
        <v>45541</v>
      </c>
      <c r="E882" s="42" t="s">
        <v>249</v>
      </c>
      <c r="F882" s="76" t="s">
        <v>46</v>
      </c>
      <c r="G882" s="52">
        <v>-20</v>
      </c>
      <c r="H882" s="32" t="s">
        <v>268</v>
      </c>
    </row>
    <row r="883" spans="1:8" ht="18.75">
      <c r="A883" t="s">
        <v>1456</v>
      </c>
      <c r="B883">
        <v>9</v>
      </c>
      <c r="C883">
        <v>2024</v>
      </c>
      <c r="D883" s="54">
        <v>45541</v>
      </c>
      <c r="E883" s="42" t="s">
        <v>160</v>
      </c>
      <c r="F883" s="76" t="s">
        <v>79</v>
      </c>
      <c r="G883" s="52">
        <v>2046.79</v>
      </c>
      <c r="H883" s="32" t="s">
        <v>171</v>
      </c>
    </row>
    <row r="884" spans="1:8" ht="18.75">
      <c r="A884" t="s">
        <v>1457</v>
      </c>
      <c r="B884">
        <v>9</v>
      </c>
      <c r="C884">
        <v>2024</v>
      </c>
      <c r="D884" s="54">
        <v>45542</v>
      </c>
      <c r="E884" s="42" t="s">
        <v>249</v>
      </c>
      <c r="F884" s="76" t="s">
        <v>42</v>
      </c>
      <c r="G884" s="52">
        <v>-25.98</v>
      </c>
      <c r="H884" s="32" t="s">
        <v>278</v>
      </c>
    </row>
    <row r="885" spans="1:8" ht="18.75">
      <c r="A885" t="s">
        <v>1458</v>
      </c>
      <c r="B885">
        <v>9</v>
      </c>
      <c r="C885">
        <v>2024</v>
      </c>
      <c r="D885" s="54">
        <v>45543</v>
      </c>
      <c r="E885" s="42" t="s">
        <v>249</v>
      </c>
      <c r="F885" s="76" t="s">
        <v>52</v>
      </c>
      <c r="G885" s="52">
        <v>-117.52</v>
      </c>
      <c r="H885" s="32" t="s">
        <v>282</v>
      </c>
    </row>
    <row r="886" spans="1:8" ht="18.75">
      <c r="A886" t="s">
        <v>1459</v>
      </c>
      <c r="B886">
        <v>9</v>
      </c>
      <c r="C886">
        <v>2024</v>
      </c>
      <c r="D886" s="54">
        <v>45543</v>
      </c>
      <c r="E886" s="42" t="s">
        <v>249</v>
      </c>
      <c r="F886" s="76" t="s">
        <v>57</v>
      </c>
      <c r="G886" s="52">
        <v>-73.39</v>
      </c>
      <c r="H886" s="32" t="s">
        <v>351</v>
      </c>
    </row>
    <row r="887" spans="1:8" ht="18.75">
      <c r="A887" t="s">
        <v>1460</v>
      </c>
      <c r="B887">
        <v>9</v>
      </c>
      <c r="C887">
        <v>2024</v>
      </c>
      <c r="D887" s="54">
        <v>45544</v>
      </c>
      <c r="E887" s="42" t="s">
        <v>160</v>
      </c>
      <c r="F887" s="76" t="s">
        <v>51</v>
      </c>
      <c r="G887" s="52">
        <v>-125.87</v>
      </c>
      <c r="H887" s="32" t="s">
        <v>199</v>
      </c>
    </row>
    <row r="888" spans="1:8" ht="18.75">
      <c r="A888" t="s">
        <v>1461</v>
      </c>
      <c r="B888">
        <v>9</v>
      </c>
      <c r="C888">
        <v>2024</v>
      </c>
      <c r="D888" s="54">
        <v>45544</v>
      </c>
      <c r="E888" s="42" t="s">
        <v>249</v>
      </c>
      <c r="F888" s="76" t="s">
        <v>57</v>
      </c>
      <c r="G888" s="52">
        <v>-34.25</v>
      </c>
      <c r="H888" s="32" t="s">
        <v>351</v>
      </c>
    </row>
    <row r="889" spans="1:8" ht="18.75">
      <c r="A889" t="s">
        <v>1462</v>
      </c>
      <c r="B889">
        <v>9</v>
      </c>
      <c r="C889">
        <v>2024</v>
      </c>
      <c r="D889" s="54">
        <v>45545</v>
      </c>
      <c r="E889" s="42" t="s">
        <v>160</v>
      </c>
      <c r="F889" s="76" t="s">
        <v>36</v>
      </c>
      <c r="G889" s="52">
        <v>-102.14</v>
      </c>
      <c r="H889" s="32" t="s">
        <v>1463</v>
      </c>
    </row>
    <row r="890" spans="1:8" ht="18.75">
      <c r="A890" t="s">
        <v>1464</v>
      </c>
      <c r="B890">
        <v>9</v>
      </c>
      <c r="C890">
        <v>2024</v>
      </c>
      <c r="D890" s="54">
        <v>45546</v>
      </c>
      <c r="E890" s="42" t="s">
        <v>249</v>
      </c>
      <c r="F890" s="76" t="s">
        <v>79</v>
      </c>
      <c r="G890" s="52">
        <v>-31.58</v>
      </c>
      <c r="H890" s="32" t="s">
        <v>1465</v>
      </c>
    </row>
    <row r="891" spans="1:8" ht="18.75">
      <c r="A891" t="s">
        <v>1466</v>
      </c>
      <c r="B891">
        <v>9</v>
      </c>
      <c r="C891">
        <v>2024</v>
      </c>
      <c r="D891" s="54">
        <v>45547</v>
      </c>
      <c r="E891" s="42" t="s">
        <v>249</v>
      </c>
      <c r="F891" s="76" t="s">
        <v>35</v>
      </c>
      <c r="G891" s="52">
        <v>-88.14</v>
      </c>
      <c r="H891" s="32" t="s">
        <v>285</v>
      </c>
    </row>
    <row r="892" spans="1:8" ht="18.75">
      <c r="A892" t="s">
        <v>1467</v>
      </c>
      <c r="B892">
        <v>9</v>
      </c>
      <c r="C892">
        <v>2024</v>
      </c>
      <c r="D892" s="54">
        <v>45547</v>
      </c>
      <c r="E892" s="42" t="s">
        <v>160</v>
      </c>
      <c r="F892" s="76" t="s">
        <v>79</v>
      </c>
      <c r="G892" s="52">
        <v>1282.33</v>
      </c>
      <c r="H892" s="32" t="s">
        <v>190</v>
      </c>
    </row>
    <row r="893" spans="1:8" ht="18.75">
      <c r="A893" t="s">
        <v>1468</v>
      </c>
      <c r="B893">
        <v>9</v>
      </c>
      <c r="C893">
        <v>2024</v>
      </c>
      <c r="D893" s="54">
        <v>45549</v>
      </c>
      <c r="E893" s="42" t="s">
        <v>249</v>
      </c>
      <c r="F893" s="76" t="s">
        <v>58</v>
      </c>
      <c r="G893" s="52">
        <v>-4.24</v>
      </c>
      <c r="H893" s="32" t="s">
        <v>308</v>
      </c>
    </row>
    <row r="894" spans="1:8" ht="18.75">
      <c r="A894" t="s">
        <v>1469</v>
      </c>
      <c r="B894">
        <v>9</v>
      </c>
      <c r="C894">
        <v>2024</v>
      </c>
      <c r="D894" s="54">
        <v>45549</v>
      </c>
      <c r="E894" s="42" t="s">
        <v>249</v>
      </c>
      <c r="F894" s="76" t="s">
        <v>39</v>
      </c>
      <c r="G894" s="52">
        <v>-104.62</v>
      </c>
      <c r="H894" s="32" t="s">
        <v>304</v>
      </c>
    </row>
    <row r="895" spans="1:8" ht="18.75">
      <c r="A895" t="s">
        <v>1470</v>
      </c>
      <c r="B895">
        <v>9</v>
      </c>
      <c r="C895">
        <v>2024</v>
      </c>
      <c r="D895" s="54">
        <v>45549</v>
      </c>
      <c r="E895" s="42" t="s">
        <v>249</v>
      </c>
      <c r="F895" s="76" t="s">
        <v>54</v>
      </c>
      <c r="G895" s="52">
        <v>-37.57</v>
      </c>
      <c r="H895" s="32" t="s">
        <v>348</v>
      </c>
    </row>
    <row r="896" spans="1:8" ht="18.75">
      <c r="A896" t="s">
        <v>1471</v>
      </c>
      <c r="B896">
        <v>9</v>
      </c>
      <c r="C896">
        <v>2024</v>
      </c>
      <c r="D896" s="54">
        <v>45549</v>
      </c>
      <c r="E896" s="42" t="s">
        <v>249</v>
      </c>
      <c r="F896" s="76" t="s">
        <v>59</v>
      </c>
      <c r="G896" s="52">
        <v>-74.73</v>
      </c>
      <c r="H896" s="32" t="s">
        <v>1472</v>
      </c>
    </row>
    <row r="897" spans="1:8" ht="18.75">
      <c r="A897" t="s">
        <v>1473</v>
      </c>
      <c r="B897">
        <v>9</v>
      </c>
      <c r="C897">
        <v>2024</v>
      </c>
      <c r="D897" s="54">
        <v>45549</v>
      </c>
      <c r="E897" s="42" t="s">
        <v>249</v>
      </c>
      <c r="F897" s="76" t="s">
        <v>44</v>
      </c>
      <c r="G897" s="52">
        <v>-30.16</v>
      </c>
      <c r="H897" s="32" t="s">
        <v>1474</v>
      </c>
    </row>
    <row r="898" spans="1:8" ht="18.75">
      <c r="A898" t="s">
        <v>1475</v>
      </c>
      <c r="B898">
        <v>9</v>
      </c>
      <c r="C898">
        <v>2024</v>
      </c>
      <c r="D898" s="54">
        <v>45549</v>
      </c>
      <c r="E898" s="42" t="s">
        <v>249</v>
      </c>
      <c r="F898" s="76" t="s">
        <v>50</v>
      </c>
      <c r="G898" s="52">
        <v>-22.95</v>
      </c>
      <c r="H898" s="32" t="s">
        <v>1476</v>
      </c>
    </row>
    <row r="899" spans="1:8" ht="18.75">
      <c r="A899" t="s">
        <v>1477</v>
      </c>
      <c r="B899">
        <v>9</v>
      </c>
      <c r="C899">
        <v>2024</v>
      </c>
      <c r="D899" s="54">
        <v>45550</v>
      </c>
      <c r="E899" s="42" t="s">
        <v>249</v>
      </c>
      <c r="F899" s="76" t="s">
        <v>32</v>
      </c>
      <c r="G899" s="52">
        <v>-132.75</v>
      </c>
      <c r="H899" s="32" t="s">
        <v>554</v>
      </c>
    </row>
    <row r="900" spans="1:8" ht="18.75">
      <c r="B900">
        <v>9</v>
      </c>
      <c r="C900">
        <v>2024</v>
      </c>
      <c r="D900" s="54">
        <v>45557</v>
      </c>
      <c r="F900" s="76" t="s">
        <v>49</v>
      </c>
      <c r="G900" s="52">
        <v>-250</v>
      </c>
      <c r="H900" s="32" t="s">
        <v>1478</v>
      </c>
    </row>
    <row r="901" spans="1:8" ht="18.75">
      <c r="A901" t="s">
        <v>1479</v>
      </c>
      <c r="B901">
        <v>9</v>
      </c>
      <c r="C901">
        <v>2024</v>
      </c>
      <c r="D901" s="54">
        <v>45551</v>
      </c>
      <c r="E901" s="42" t="s">
        <v>160</v>
      </c>
      <c r="F901" s="76" t="s">
        <v>64</v>
      </c>
      <c r="G901" s="52">
        <v>-294</v>
      </c>
      <c r="H901" s="32" t="s">
        <v>208</v>
      </c>
    </row>
    <row r="902" spans="1:8" ht="18.75">
      <c r="A902" t="s">
        <v>1480</v>
      </c>
      <c r="B902">
        <v>9</v>
      </c>
      <c r="C902">
        <v>2024</v>
      </c>
      <c r="D902" s="54">
        <v>45551</v>
      </c>
      <c r="E902" s="42" t="s">
        <v>249</v>
      </c>
      <c r="F902" s="76" t="s">
        <v>79</v>
      </c>
      <c r="G902" s="52">
        <v>2664.41</v>
      </c>
      <c r="H902" s="32" t="s">
        <v>306</v>
      </c>
    </row>
    <row r="903" spans="1:8" ht="18.75">
      <c r="A903" t="s">
        <v>1481</v>
      </c>
      <c r="B903">
        <v>9</v>
      </c>
      <c r="C903">
        <v>2024</v>
      </c>
      <c r="D903" s="54">
        <v>45551</v>
      </c>
      <c r="E903" s="42" t="s">
        <v>249</v>
      </c>
      <c r="F903" s="76" t="s">
        <v>57</v>
      </c>
      <c r="G903" s="52">
        <v>-91.21</v>
      </c>
      <c r="H903" s="32" t="s">
        <v>351</v>
      </c>
    </row>
    <row r="904" spans="1:8" ht="18.75">
      <c r="A904" t="s">
        <v>1482</v>
      </c>
      <c r="B904">
        <v>9</v>
      </c>
      <c r="C904">
        <v>2024</v>
      </c>
      <c r="D904" s="54">
        <v>45551</v>
      </c>
      <c r="E904" s="42" t="s">
        <v>146</v>
      </c>
      <c r="F904" s="76" t="s">
        <v>47</v>
      </c>
      <c r="G904" s="52">
        <v>-100</v>
      </c>
      <c r="H904" s="32" t="s">
        <v>1483</v>
      </c>
    </row>
    <row r="905" spans="1:8" ht="18.75">
      <c r="A905" t="s">
        <v>1484</v>
      </c>
      <c r="B905">
        <v>9</v>
      </c>
      <c r="C905">
        <v>2024</v>
      </c>
      <c r="D905" s="54">
        <v>45552</v>
      </c>
      <c r="E905" s="42" t="s">
        <v>160</v>
      </c>
      <c r="F905" s="76" t="s">
        <v>51</v>
      </c>
      <c r="G905" s="52">
        <v>-125.57</v>
      </c>
      <c r="H905" s="32" t="s">
        <v>210</v>
      </c>
    </row>
    <row r="906" spans="1:8" ht="18.75">
      <c r="A906" t="s">
        <v>1485</v>
      </c>
      <c r="B906">
        <v>9</v>
      </c>
      <c r="C906">
        <v>2024</v>
      </c>
      <c r="D906" s="54">
        <v>45552</v>
      </c>
      <c r="E906" s="42" t="s">
        <v>160</v>
      </c>
      <c r="F906" s="76" t="s">
        <v>79</v>
      </c>
      <c r="G906" s="52">
        <v>-2664.41</v>
      </c>
      <c r="H906" s="32" t="s">
        <v>214</v>
      </c>
    </row>
    <row r="907" spans="1:8" ht="18.75">
      <c r="A907" t="s">
        <v>1486</v>
      </c>
      <c r="B907">
        <v>9</v>
      </c>
      <c r="C907">
        <v>2024</v>
      </c>
      <c r="D907" s="54">
        <v>45552</v>
      </c>
      <c r="E907" s="42" t="s">
        <v>160</v>
      </c>
      <c r="F907" s="76" t="s">
        <v>60</v>
      </c>
      <c r="G907" s="52">
        <v>-18.2</v>
      </c>
      <c r="H907" s="32" t="s">
        <v>212</v>
      </c>
    </row>
    <row r="908" spans="1:8" ht="18.75">
      <c r="A908" t="s">
        <v>1487</v>
      </c>
      <c r="B908">
        <v>9</v>
      </c>
      <c r="C908">
        <v>2024</v>
      </c>
      <c r="D908" s="54">
        <v>45552</v>
      </c>
      <c r="E908" s="42" t="s">
        <v>160</v>
      </c>
      <c r="F908" s="76" t="s">
        <v>43</v>
      </c>
      <c r="G908" s="52">
        <v>-9.0299999999999994</v>
      </c>
      <c r="H908" s="32" t="s">
        <v>163</v>
      </c>
    </row>
    <row r="909" spans="1:8" ht="18.75">
      <c r="A909" t="s">
        <v>1488</v>
      </c>
      <c r="B909">
        <v>9</v>
      </c>
      <c r="C909">
        <v>2024</v>
      </c>
      <c r="D909" s="54">
        <v>45553</v>
      </c>
      <c r="E909" s="42" t="s">
        <v>249</v>
      </c>
      <c r="F909" s="76" t="s">
        <v>54</v>
      </c>
      <c r="G909" s="52">
        <v>-10.17</v>
      </c>
      <c r="H909" s="32" t="s">
        <v>631</v>
      </c>
    </row>
    <row r="910" spans="1:8" ht="18.75">
      <c r="A910" t="s">
        <v>1489</v>
      </c>
      <c r="B910">
        <v>9</v>
      </c>
      <c r="C910">
        <v>2024</v>
      </c>
      <c r="D910" s="54">
        <v>45554</v>
      </c>
      <c r="E910" s="42" t="s">
        <v>249</v>
      </c>
      <c r="F910" s="76" t="s">
        <v>57</v>
      </c>
      <c r="G910" s="52">
        <v>-63.42</v>
      </c>
      <c r="H910" s="32" t="s">
        <v>1263</v>
      </c>
    </row>
    <row r="911" spans="1:8" ht="18.75">
      <c r="A911" t="s">
        <v>1490</v>
      </c>
      <c r="B911">
        <v>9</v>
      </c>
      <c r="C911">
        <v>2024</v>
      </c>
      <c r="D911" s="54">
        <v>45554</v>
      </c>
      <c r="E911" s="42" t="s">
        <v>249</v>
      </c>
      <c r="F911" s="76" t="s">
        <v>32</v>
      </c>
      <c r="G911" s="52">
        <v>-59.32</v>
      </c>
      <c r="H911" s="32" t="s">
        <v>646</v>
      </c>
    </row>
    <row r="912" spans="1:8" ht="18.75">
      <c r="A912" t="s">
        <v>1491</v>
      </c>
      <c r="B912">
        <v>9</v>
      </c>
      <c r="C912">
        <v>2024</v>
      </c>
      <c r="D912" s="54">
        <v>45555</v>
      </c>
      <c r="E912" s="42" t="s">
        <v>160</v>
      </c>
      <c r="F912" s="76" t="s">
        <v>33</v>
      </c>
      <c r="G912" s="52">
        <v>-443.25</v>
      </c>
      <c r="H912" s="32" t="s">
        <v>169</v>
      </c>
    </row>
    <row r="913" spans="1:8" ht="18.75">
      <c r="A913" t="s">
        <v>1492</v>
      </c>
      <c r="B913">
        <v>9</v>
      </c>
      <c r="C913">
        <v>2024</v>
      </c>
      <c r="D913" s="54">
        <v>45555</v>
      </c>
      <c r="E913" s="42" t="s">
        <v>160</v>
      </c>
      <c r="F913" s="76" t="s">
        <v>79</v>
      </c>
      <c r="G913" s="52">
        <v>2046.79</v>
      </c>
      <c r="H913" s="32" t="s">
        <v>171</v>
      </c>
    </row>
    <row r="914" spans="1:8" ht="18.75">
      <c r="A914" t="s">
        <v>1493</v>
      </c>
      <c r="B914">
        <v>9</v>
      </c>
      <c r="C914">
        <v>2024</v>
      </c>
      <c r="D914" s="54">
        <v>45555</v>
      </c>
      <c r="E914" s="42" t="s">
        <v>160</v>
      </c>
      <c r="F914" s="76" t="s">
        <v>63</v>
      </c>
      <c r="G914" s="52">
        <v>-120.35</v>
      </c>
      <c r="H914" s="32" t="s">
        <v>224</v>
      </c>
    </row>
    <row r="915" spans="1:8" ht="18.75">
      <c r="A915" t="s">
        <v>1494</v>
      </c>
      <c r="B915">
        <v>9</v>
      </c>
      <c r="C915">
        <v>2024</v>
      </c>
      <c r="D915" s="54">
        <v>45555</v>
      </c>
      <c r="E915" s="42" t="s">
        <v>249</v>
      </c>
      <c r="F915" s="76" t="s">
        <v>54</v>
      </c>
      <c r="G915" s="52">
        <v>-5.65</v>
      </c>
      <c r="H915" s="32" t="s">
        <v>1495</v>
      </c>
    </row>
    <row r="916" spans="1:8" ht="18.75">
      <c r="A916" t="s">
        <v>1496</v>
      </c>
      <c r="B916">
        <v>9</v>
      </c>
      <c r="C916">
        <v>2024</v>
      </c>
      <c r="D916" s="54">
        <v>45555</v>
      </c>
      <c r="E916" s="42" t="s">
        <v>249</v>
      </c>
      <c r="F916" s="76" t="s">
        <v>54</v>
      </c>
      <c r="G916" s="52">
        <v>-4.8899999999999997</v>
      </c>
      <c r="H916" s="32" t="s">
        <v>1497</v>
      </c>
    </row>
    <row r="917" spans="1:8" ht="18.75">
      <c r="A917" t="s">
        <v>1498</v>
      </c>
      <c r="B917">
        <v>9</v>
      </c>
      <c r="C917">
        <v>2024</v>
      </c>
      <c r="D917" s="54">
        <v>45556</v>
      </c>
      <c r="E917" s="42" t="s">
        <v>249</v>
      </c>
      <c r="F917" s="76" t="s">
        <v>34</v>
      </c>
      <c r="G917" s="52">
        <v>-215.52</v>
      </c>
      <c r="H917" s="32" t="s">
        <v>1499</v>
      </c>
    </row>
    <row r="918" spans="1:8" ht="18.75">
      <c r="A918" t="s">
        <v>1500</v>
      </c>
      <c r="B918">
        <v>9</v>
      </c>
      <c r="C918">
        <v>2024</v>
      </c>
      <c r="D918" s="54">
        <v>45556</v>
      </c>
      <c r="E918" s="42" t="s">
        <v>249</v>
      </c>
      <c r="F918" s="76" t="s">
        <v>34</v>
      </c>
      <c r="G918" s="52">
        <v>-44</v>
      </c>
      <c r="H918" s="32" t="s">
        <v>1501</v>
      </c>
    </row>
    <row r="919" spans="1:8" ht="18.75">
      <c r="B919">
        <v>9</v>
      </c>
      <c r="C919">
        <v>2024</v>
      </c>
      <c r="D919" s="54">
        <v>45557</v>
      </c>
      <c r="F919" s="76" t="s">
        <v>34</v>
      </c>
      <c r="G919" s="52">
        <v>250</v>
      </c>
      <c r="H919" s="32" t="s">
        <v>1502</v>
      </c>
    </row>
    <row r="920" spans="1:8" ht="18.75">
      <c r="A920" t="s">
        <v>1503</v>
      </c>
      <c r="B920">
        <v>9</v>
      </c>
      <c r="C920">
        <v>2024</v>
      </c>
      <c r="D920" s="54">
        <v>45557</v>
      </c>
      <c r="E920" s="42" t="s">
        <v>249</v>
      </c>
      <c r="F920" s="76" t="s">
        <v>34</v>
      </c>
      <c r="G920" s="52">
        <v>-12.65</v>
      </c>
      <c r="H920" s="32" t="s">
        <v>1504</v>
      </c>
    </row>
    <row r="921" spans="1:8" ht="18.75">
      <c r="A921" s="77" t="s">
        <v>1505</v>
      </c>
      <c r="B921">
        <v>9</v>
      </c>
      <c r="C921">
        <v>2024</v>
      </c>
      <c r="D921" s="54">
        <v>45557</v>
      </c>
      <c r="E921" s="42" t="s">
        <v>249</v>
      </c>
      <c r="F921" s="76" t="s">
        <v>34</v>
      </c>
      <c r="G921" s="52">
        <v>-60.22</v>
      </c>
      <c r="H921" s="32" t="s">
        <v>1506</v>
      </c>
    </row>
    <row r="922" spans="1:8" ht="18.75">
      <c r="A922" t="s">
        <v>1507</v>
      </c>
      <c r="B922">
        <v>10</v>
      </c>
      <c r="C922">
        <v>2024</v>
      </c>
      <c r="D922" s="54">
        <v>45566</v>
      </c>
      <c r="E922" s="42" t="s">
        <v>160</v>
      </c>
      <c r="F922" s="76" t="s">
        <v>49</v>
      </c>
      <c r="G922" s="52">
        <v>-50</v>
      </c>
      <c r="H922" s="32" t="s">
        <v>161</v>
      </c>
    </row>
    <row r="923" spans="1:8" ht="18.75">
      <c r="A923" t="s">
        <v>1508</v>
      </c>
      <c r="B923">
        <v>9</v>
      </c>
      <c r="C923">
        <v>2024</v>
      </c>
      <c r="D923" s="54">
        <v>45559</v>
      </c>
      <c r="E923" s="42" t="s">
        <v>249</v>
      </c>
      <c r="F923" s="76" t="s">
        <v>57</v>
      </c>
      <c r="G923" s="52">
        <v>-85.83</v>
      </c>
      <c r="H923" s="32" t="s">
        <v>351</v>
      </c>
    </row>
    <row r="924" spans="1:8" ht="18.75">
      <c r="A924" t="s">
        <v>1509</v>
      </c>
      <c r="B924">
        <v>9</v>
      </c>
      <c r="C924">
        <v>2024</v>
      </c>
      <c r="D924" s="54">
        <v>45559</v>
      </c>
      <c r="E924" s="42" t="s">
        <v>249</v>
      </c>
      <c r="F924" s="76" t="s">
        <v>57</v>
      </c>
      <c r="G924" s="52">
        <v>-17.09</v>
      </c>
      <c r="H924" s="32" t="s">
        <v>1172</v>
      </c>
    </row>
    <row r="925" spans="1:8" ht="18.75">
      <c r="A925" t="s">
        <v>1510</v>
      </c>
      <c r="B925">
        <v>9</v>
      </c>
      <c r="C925">
        <v>2024</v>
      </c>
      <c r="D925" s="54">
        <v>45559</v>
      </c>
      <c r="E925" s="42" t="s">
        <v>160</v>
      </c>
      <c r="F925" s="76" t="s">
        <v>29</v>
      </c>
      <c r="G925" s="52">
        <v>-225.75</v>
      </c>
      <c r="H925" s="32" t="s">
        <v>167</v>
      </c>
    </row>
    <row r="926" spans="1:8" ht="18.75">
      <c r="A926" t="s">
        <v>1511</v>
      </c>
      <c r="B926">
        <v>9</v>
      </c>
      <c r="C926">
        <v>2024</v>
      </c>
      <c r="D926" s="54">
        <v>45560</v>
      </c>
      <c r="E926" s="42" t="s">
        <v>160</v>
      </c>
      <c r="F926" s="76" t="s">
        <v>48</v>
      </c>
      <c r="G926" s="52">
        <v>-4</v>
      </c>
      <c r="H926" s="32" t="s">
        <v>228</v>
      </c>
    </row>
    <row r="927" spans="1:8" ht="18.75">
      <c r="A927" t="s">
        <v>1512</v>
      </c>
      <c r="B927">
        <v>9</v>
      </c>
      <c r="C927">
        <v>2024</v>
      </c>
      <c r="D927" s="54">
        <v>45560</v>
      </c>
      <c r="E927" s="42" t="s">
        <v>160</v>
      </c>
      <c r="F927" s="76" t="s">
        <v>48</v>
      </c>
      <c r="G927" s="52">
        <v>-7.5</v>
      </c>
      <c r="H927" s="32" t="s">
        <v>557</v>
      </c>
    </row>
    <row r="928" spans="1:8" ht="18.75">
      <c r="A928" t="s">
        <v>1513</v>
      </c>
      <c r="B928">
        <v>9</v>
      </c>
      <c r="C928">
        <v>2024</v>
      </c>
      <c r="D928" s="54">
        <v>45560</v>
      </c>
      <c r="E928" s="42" t="s">
        <v>249</v>
      </c>
      <c r="F928" s="76" t="s">
        <v>59</v>
      </c>
      <c r="G928" s="52">
        <v>-67.510000000000005</v>
      </c>
      <c r="H928" s="32" t="s">
        <v>1514</v>
      </c>
    </row>
    <row r="929" spans="1:8" ht="18.75">
      <c r="A929" t="s">
        <v>1515</v>
      </c>
      <c r="B929">
        <v>9</v>
      </c>
      <c r="C929">
        <v>2024</v>
      </c>
      <c r="D929" s="54">
        <v>45561</v>
      </c>
      <c r="E929" s="42" t="s">
        <v>249</v>
      </c>
      <c r="F929" s="76" t="s">
        <v>34</v>
      </c>
      <c r="G929" s="52">
        <v>-42.18</v>
      </c>
      <c r="H929" s="32" t="s">
        <v>351</v>
      </c>
    </row>
    <row r="930" spans="1:8" ht="18.75">
      <c r="A930" t="s">
        <v>1516</v>
      </c>
      <c r="B930">
        <v>9</v>
      </c>
      <c r="C930">
        <v>2024</v>
      </c>
      <c r="D930" s="54">
        <v>45561</v>
      </c>
      <c r="E930" s="42" t="s">
        <v>160</v>
      </c>
      <c r="F930" s="76" t="s">
        <v>79</v>
      </c>
      <c r="G930" s="52">
        <v>1282.33</v>
      </c>
      <c r="H930" s="32" t="s">
        <v>190</v>
      </c>
    </row>
    <row r="931" spans="1:8" ht="18.75">
      <c r="A931" t="s">
        <v>1517</v>
      </c>
      <c r="B931">
        <v>9</v>
      </c>
      <c r="C931">
        <v>2024</v>
      </c>
      <c r="D931" s="54">
        <v>45563</v>
      </c>
      <c r="E931" s="42" t="s">
        <v>249</v>
      </c>
      <c r="F931" s="76" t="s">
        <v>50</v>
      </c>
      <c r="G931" s="52">
        <v>-158.85</v>
      </c>
      <c r="H931" s="32" t="s">
        <v>1518</v>
      </c>
    </row>
    <row r="932" spans="1:8" ht="18.75">
      <c r="A932" t="s">
        <v>1519</v>
      </c>
      <c r="B932">
        <v>9</v>
      </c>
      <c r="C932">
        <v>2024</v>
      </c>
      <c r="D932" s="54">
        <v>45564</v>
      </c>
      <c r="E932" s="42" t="s">
        <v>249</v>
      </c>
      <c r="F932" s="76" t="s">
        <v>32</v>
      </c>
      <c r="G932" s="52">
        <v>-111.55</v>
      </c>
      <c r="H932" s="32" t="s">
        <v>554</v>
      </c>
    </row>
    <row r="933" spans="1:8" ht="18.75">
      <c r="A933" t="s">
        <v>1520</v>
      </c>
      <c r="B933">
        <v>9</v>
      </c>
      <c r="C933">
        <v>2024</v>
      </c>
      <c r="D933" s="54">
        <v>45565</v>
      </c>
      <c r="E933" s="42" t="s">
        <v>249</v>
      </c>
      <c r="F933" s="76" t="s">
        <v>45</v>
      </c>
      <c r="G933" s="52">
        <v>-35.700000000000003</v>
      </c>
      <c r="H933" s="32" t="s">
        <v>1521</v>
      </c>
    </row>
    <row r="934" spans="1:8" ht="18.75">
      <c r="A934" t="s">
        <v>1522</v>
      </c>
      <c r="B934">
        <v>9</v>
      </c>
      <c r="C934">
        <v>2024</v>
      </c>
      <c r="D934" s="54">
        <v>45565</v>
      </c>
      <c r="E934" s="42" t="s">
        <v>249</v>
      </c>
      <c r="F934" s="76" t="s">
        <v>45</v>
      </c>
      <c r="G934" s="52">
        <v>-25</v>
      </c>
      <c r="H934" s="32" t="s">
        <v>1121</v>
      </c>
    </row>
    <row r="935" spans="1:8" ht="18.75">
      <c r="A935" t="s">
        <v>1523</v>
      </c>
      <c r="B935">
        <v>9</v>
      </c>
      <c r="C935">
        <v>2024</v>
      </c>
      <c r="D935" s="54">
        <v>45565</v>
      </c>
      <c r="E935" s="42" t="s">
        <v>249</v>
      </c>
      <c r="F935" s="76" t="s">
        <v>65</v>
      </c>
      <c r="G935" s="52">
        <v>-125.22</v>
      </c>
      <c r="H935" s="32" t="s">
        <v>258</v>
      </c>
    </row>
    <row r="936" spans="1:8" ht="18.75">
      <c r="A936" t="s">
        <v>1524</v>
      </c>
      <c r="B936">
        <v>9</v>
      </c>
      <c r="C936">
        <v>2024</v>
      </c>
      <c r="D936" s="54">
        <v>45565</v>
      </c>
      <c r="E936" s="42" t="s">
        <v>249</v>
      </c>
      <c r="F936" s="76" t="s">
        <v>57</v>
      </c>
      <c r="G936" s="52">
        <v>-106.06</v>
      </c>
      <c r="H936" s="32" t="s">
        <v>282</v>
      </c>
    </row>
    <row r="937" spans="1:8" ht="18.75">
      <c r="A937" t="s">
        <v>1525</v>
      </c>
      <c r="B937">
        <v>9</v>
      </c>
      <c r="C937">
        <v>2024</v>
      </c>
      <c r="D937" s="54">
        <v>45565</v>
      </c>
      <c r="E937" s="42" t="s">
        <v>249</v>
      </c>
      <c r="F937" s="76" t="s">
        <v>56</v>
      </c>
      <c r="G937" s="52">
        <v>-112.39</v>
      </c>
      <c r="H937" s="32" t="s">
        <v>601</v>
      </c>
    </row>
    <row r="938" spans="1:8" ht="18.75">
      <c r="A938" t="s">
        <v>1526</v>
      </c>
      <c r="B938">
        <v>10</v>
      </c>
      <c r="C938">
        <v>2024</v>
      </c>
      <c r="D938" s="54">
        <v>45566</v>
      </c>
      <c r="E938" s="42" t="s">
        <v>160</v>
      </c>
      <c r="F938" s="76" t="s">
        <v>49</v>
      </c>
      <c r="G938" s="52">
        <v>-50</v>
      </c>
      <c r="H938" s="32" t="s">
        <v>173</v>
      </c>
    </row>
    <row r="939" spans="1:8" ht="18.75">
      <c r="A939" t="s">
        <v>1527</v>
      </c>
      <c r="B939">
        <v>10</v>
      </c>
      <c r="C939">
        <v>2024</v>
      </c>
      <c r="D939" s="54">
        <v>45580</v>
      </c>
      <c r="E939" s="42" t="s">
        <v>160</v>
      </c>
      <c r="F939" s="76" t="s">
        <v>49</v>
      </c>
      <c r="G939" s="52">
        <v>-50</v>
      </c>
      <c r="H939" s="32" t="s">
        <v>161</v>
      </c>
    </row>
    <row r="940" spans="1:8" ht="18.75">
      <c r="A940" t="s">
        <v>1528</v>
      </c>
      <c r="B940">
        <v>10</v>
      </c>
      <c r="C940">
        <v>2024</v>
      </c>
      <c r="D940" s="54">
        <v>45566</v>
      </c>
      <c r="E940" s="42" t="s">
        <v>146</v>
      </c>
      <c r="F940" s="76" t="s">
        <v>48</v>
      </c>
      <c r="G940" s="52">
        <v>5.25</v>
      </c>
      <c r="H940" s="32" t="s">
        <v>175</v>
      </c>
    </row>
    <row r="941" spans="1:8" ht="18.75">
      <c r="A941" t="s">
        <v>1529</v>
      </c>
      <c r="B941">
        <v>10</v>
      </c>
      <c r="C941">
        <v>2024</v>
      </c>
      <c r="D941" s="54">
        <v>45566</v>
      </c>
      <c r="E941" s="42" t="s">
        <v>160</v>
      </c>
      <c r="F941" s="76" t="s">
        <v>79</v>
      </c>
      <c r="G941" s="52">
        <v>-2080</v>
      </c>
      <c r="H941" s="32" t="s">
        <v>1530</v>
      </c>
    </row>
    <row r="942" spans="1:8" ht="18.75">
      <c r="A942" t="s">
        <v>1531</v>
      </c>
      <c r="B942">
        <v>10</v>
      </c>
      <c r="C942">
        <v>2024</v>
      </c>
      <c r="D942" s="54">
        <v>45566</v>
      </c>
      <c r="E942" s="42" t="s">
        <v>160</v>
      </c>
      <c r="F942" s="76" t="s">
        <v>43</v>
      </c>
      <c r="G942" s="52">
        <v>-9.0299999999999994</v>
      </c>
      <c r="H942" s="32" t="s">
        <v>163</v>
      </c>
    </row>
    <row r="943" spans="1:8" ht="18.75">
      <c r="A943" t="s">
        <v>1532</v>
      </c>
      <c r="B943">
        <v>10</v>
      </c>
      <c r="C943">
        <v>2024</v>
      </c>
      <c r="D943" s="54">
        <v>45566</v>
      </c>
      <c r="E943" s="42" t="s">
        <v>146</v>
      </c>
      <c r="F943" s="76" t="s">
        <v>72</v>
      </c>
      <c r="G943" s="52">
        <v>2080</v>
      </c>
      <c r="H943" s="32" t="s">
        <v>1533</v>
      </c>
    </row>
    <row r="944" spans="1:8" ht="18.75">
      <c r="A944" t="s">
        <v>1534</v>
      </c>
      <c r="B944">
        <v>10</v>
      </c>
      <c r="C944">
        <v>2024</v>
      </c>
      <c r="D944" s="54">
        <v>45566</v>
      </c>
      <c r="E944" s="42" t="s">
        <v>160</v>
      </c>
      <c r="F944" s="76" t="s">
        <v>40</v>
      </c>
      <c r="G944" s="52">
        <v>-100</v>
      </c>
      <c r="H944" s="32" t="s">
        <v>1535</v>
      </c>
    </row>
    <row r="945" spans="1:9" ht="18.75">
      <c r="A945" t="s">
        <v>1536</v>
      </c>
      <c r="B945">
        <v>10</v>
      </c>
      <c r="C945">
        <v>2024</v>
      </c>
      <c r="D945" s="54">
        <v>45566</v>
      </c>
      <c r="E945" s="42" t="s">
        <v>160</v>
      </c>
      <c r="F945" s="76" t="s">
        <v>40</v>
      </c>
      <c r="G945" s="52">
        <v>-100</v>
      </c>
      <c r="H945" s="32" t="s">
        <v>1537</v>
      </c>
    </row>
    <row r="946" spans="1:9" ht="18.75">
      <c r="A946" t="s">
        <v>1538</v>
      </c>
      <c r="B946">
        <v>10</v>
      </c>
      <c r="C946">
        <v>2024</v>
      </c>
      <c r="D946" s="54">
        <v>45567</v>
      </c>
      <c r="E946" s="42" t="s">
        <v>249</v>
      </c>
      <c r="F946" s="76" t="s">
        <v>34</v>
      </c>
      <c r="G946" s="52">
        <v>-109.87</v>
      </c>
      <c r="H946" s="32" t="s">
        <v>1539</v>
      </c>
    </row>
    <row r="947" spans="1:9" ht="18.75">
      <c r="B947">
        <v>10</v>
      </c>
      <c r="C947">
        <v>2024</v>
      </c>
      <c r="D947" s="54">
        <v>45568</v>
      </c>
      <c r="F947" s="76" t="s">
        <v>34</v>
      </c>
      <c r="G947" s="52">
        <v>100</v>
      </c>
      <c r="H947" s="32" t="s">
        <v>1540</v>
      </c>
    </row>
    <row r="948" spans="1:9" ht="18.75">
      <c r="A948" t="s">
        <v>1541</v>
      </c>
      <c r="B948">
        <v>10</v>
      </c>
      <c r="C948">
        <v>2024</v>
      </c>
      <c r="D948" s="54">
        <v>45568</v>
      </c>
      <c r="E948" s="42" t="s">
        <v>249</v>
      </c>
      <c r="F948" s="76" t="s">
        <v>58</v>
      </c>
      <c r="G948" s="52">
        <v>-11.29</v>
      </c>
      <c r="H948" s="32" t="s">
        <v>1542</v>
      </c>
    </row>
    <row r="949" spans="1:9" ht="18.75">
      <c r="A949" t="s">
        <v>1543</v>
      </c>
      <c r="B949">
        <v>10</v>
      </c>
      <c r="C949">
        <v>2024</v>
      </c>
      <c r="D949" s="54">
        <v>45568</v>
      </c>
      <c r="E949" s="42" t="s">
        <v>249</v>
      </c>
      <c r="F949" s="76" t="s">
        <v>58</v>
      </c>
      <c r="G949" s="52">
        <v>-59.5</v>
      </c>
      <c r="H949" s="32" t="s">
        <v>1544</v>
      </c>
    </row>
    <row r="950" spans="1:9" ht="18.75">
      <c r="B950">
        <v>10</v>
      </c>
      <c r="C950">
        <v>2024</v>
      </c>
      <c r="D950" s="54">
        <v>45568</v>
      </c>
      <c r="F950" s="76" t="s">
        <v>36</v>
      </c>
      <c r="G950" s="52">
        <v>-192.64</v>
      </c>
      <c r="H950" s="32" t="s">
        <v>1545</v>
      </c>
    </row>
    <row r="951" spans="1:9" ht="18.75">
      <c r="B951">
        <v>10</v>
      </c>
      <c r="C951">
        <v>2024</v>
      </c>
      <c r="D951" s="54">
        <v>45568</v>
      </c>
      <c r="F951" s="76" t="s">
        <v>44</v>
      </c>
      <c r="G951" s="52">
        <v>-100</v>
      </c>
      <c r="H951" s="32" t="s">
        <v>1546</v>
      </c>
    </row>
    <row r="952" spans="1:9" ht="18.75">
      <c r="B952">
        <v>10</v>
      </c>
      <c r="C952">
        <v>2024</v>
      </c>
      <c r="D952" s="54">
        <v>45568</v>
      </c>
      <c r="F952" s="76" t="s">
        <v>44</v>
      </c>
      <c r="G952" s="52">
        <v>-100</v>
      </c>
      <c r="H952" s="32" t="s">
        <v>1478</v>
      </c>
    </row>
    <row r="953" spans="1:9" ht="18.75">
      <c r="B953">
        <v>10</v>
      </c>
      <c r="C953">
        <v>2024</v>
      </c>
      <c r="D953" s="54">
        <v>45568</v>
      </c>
      <c r="F953" s="76" t="s">
        <v>32</v>
      </c>
      <c r="G953" s="52">
        <v>192.64</v>
      </c>
      <c r="H953" s="32" t="s">
        <v>1547</v>
      </c>
    </row>
    <row r="954" spans="1:9" ht="18.75">
      <c r="B954">
        <v>10</v>
      </c>
      <c r="C954">
        <v>2024</v>
      </c>
      <c r="D954" s="54">
        <v>45568</v>
      </c>
      <c r="F954" s="76" t="s">
        <v>62</v>
      </c>
      <c r="G954" s="52">
        <v>100</v>
      </c>
      <c r="H954" s="32" t="s">
        <v>1540</v>
      </c>
    </row>
    <row r="955" spans="1:9" ht="18.75">
      <c r="A955" t="s">
        <v>1548</v>
      </c>
      <c r="B955">
        <v>10</v>
      </c>
      <c r="C955">
        <v>2024</v>
      </c>
      <c r="D955" s="54">
        <v>45569</v>
      </c>
      <c r="E955" s="42" t="s">
        <v>160</v>
      </c>
      <c r="F955" s="76" t="s">
        <v>33</v>
      </c>
      <c r="G955" s="52">
        <v>-443.25</v>
      </c>
      <c r="H955" s="32" t="s">
        <v>169</v>
      </c>
    </row>
    <row r="956" spans="1:9" ht="18.75">
      <c r="A956" t="s">
        <v>1549</v>
      </c>
      <c r="B956">
        <v>10</v>
      </c>
      <c r="C956">
        <v>2024</v>
      </c>
      <c r="D956" s="54">
        <v>45569</v>
      </c>
      <c r="E956" s="42" t="s">
        <v>160</v>
      </c>
      <c r="F956" s="76" t="s">
        <v>79</v>
      </c>
      <c r="G956" s="52">
        <v>2489.88</v>
      </c>
      <c r="H956" s="32" t="s">
        <v>171</v>
      </c>
    </row>
    <row r="957" spans="1:9" ht="18.75">
      <c r="A957" t="s">
        <v>1550</v>
      </c>
      <c r="B957">
        <v>10</v>
      </c>
      <c r="C957">
        <v>2024</v>
      </c>
      <c r="D957" s="54">
        <v>45569</v>
      </c>
      <c r="E957" s="42" t="s">
        <v>146</v>
      </c>
      <c r="F957" s="76" t="s">
        <v>79</v>
      </c>
      <c r="G957" s="52">
        <v>15.22</v>
      </c>
      <c r="H957" s="32" t="s">
        <v>1551</v>
      </c>
    </row>
    <row r="958" spans="1:9" ht="18.75">
      <c r="A958" t="s">
        <v>1552</v>
      </c>
      <c r="B958">
        <v>10</v>
      </c>
      <c r="C958">
        <v>2024</v>
      </c>
      <c r="D958" s="54">
        <v>45569</v>
      </c>
      <c r="E958" s="42" t="s">
        <v>160</v>
      </c>
      <c r="F958" s="76" t="s">
        <v>79</v>
      </c>
      <c r="G958" s="52">
        <v>-15.22</v>
      </c>
      <c r="H958" s="32" t="s">
        <v>1553</v>
      </c>
    </row>
    <row r="959" spans="1:9" ht="18.75">
      <c r="A959" t="s">
        <v>1554</v>
      </c>
      <c r="B959">
        <v>10</v>
      </c>
      <c r="C959">
        <v>2024</v>
      </c>
      <c r="D959" s="54">
        <v>45569</v>
      </c>
      <c r="E959" s="42" t="s">
        <v>249</v>
      </c>
      <c r="F959" s="76" t="s">
        <v>57</v>
      </c>
      <c r="G959" s="52">
        <v>-43.09</v>
      </c>
      <c r="H959" s="32" t="s">
        <v>351</v>
      </c>
    </row>
    <row r="960" spans="1:9" ht="18.75">
      <c r="A960" t="s">
        <v>1555</v>
      </c>
      <c r="B960">
        <v>10</v>
      </c>
      <c r="C960">
        <v>2024</v>
      </c>
      <c r="D960" s="54">
        <v>45569</v>
      </c>
      <c r="E960" s="42" t="s">
        <v>146</v>
      </c>
      <c r="F960" s="76" t="s">
        <v>72</v>
      </c>
      <c r="G960" s="52">
        <v>60</v>
      </c>
      <c r="H960" s="32" t="s">
        <v>1556</v>
      </c>
      <c r="I960" s="32" t="s">
        <v>1557</v>
      </c>
    </row>
    <row r="961" spans="1:8" ht="18.75">
      <c r="A961" t="s">
        <v>1558</v>
      </c>
      <c r="B961">
        <v>10</v>
      </c>
      <c r="C961">
        <v>2024</v>
      </c>
      <c r="D961" s="54">
        <v>45570</v>
      </c>
      <c r="E961" s="42" t="s">
        <v>249</v>
      </c>
      <c r="F961" s="76" t="s">
        <v>34</v>
      </c>
      <c r="G961" s="52">
        <v>-77.33</v>
      </c>
      <c r="H961" s="32" t="s">
        <v>1559</v>
      </c>
    </row>
    <row r="962" spans="1:8" ht="18.75">
      <c r="A962" t="s">
        <v>1560</v>
      </c>
      <c r="B962">
        <v>10</v>
      </c>
      <c r="C962">
        <v>2024</v>
      </c>
      <c r="D962" s="54">
        <v>45570</v>
      </c>
      <c r="E962" s="42" t="s">
        <v>249</v>
      </c>
      <c r="F962" s="76" t="s">
        <v>34</v>
      </c>
      <c r="G962" s="52">
        <v>-38.42</v>
      </c>
      <c r="H962" s="32" t="s">
        <v>1561</v>
      </c>
    </row>
    <row r="963" spans="1:8" ht="18.75">
      <c r="A963" t="s">
        <v>1562</v>
      </c>
      <c r="B963">
        <v>10</v>
      </c>
      <c r="C963">
        <v>2024</v>
      </c>
      <c r="D963" s="54">
        <v>45570</v>
      </c>
      <c r="E963" s="42" t="s">
        <v>249</v>
      </c>
      <c r="F963" s="76" t="s">
        <v>34</v>
      </c>
      <c r="G963" s="52">
        <v>-14.13</v>
      </c>
      <c r="H963" s="32" t="s">
        <v>1563</v>
      </c>
    </row>
    <row r="964" spans="1:8" ht="18.75">
      <c r="A964" t="s">
        <v>1564</v>
      </c>
      <c r="B964">
        <v>10</v>
      </c>
      <c r="C964">
        <v>2024</v>
      </c>
      <c r="D964" s="54">
        <v>45570</v>
      </c>
      <c r="E964" s="42" t="s">
        <v>249</v>
      </c>
      <c r="F964" s="76" t="s">
        <v>58</v>
      </c>
      <c r="G964" s="52">
        <v>-53.63</v>
      </c>
      <c r="H964" s="32" t="s">
        <v>1561</v>
      </c>
    </row>
    <row r="965" spans="1:8" ht="18.75">
      <c r="A965" t="s">
        <v>1565</v>
      </c>
      <c r="B965">
        <v>10</v>
      </c>
      <c r="C965">
        <v>2024</v>
      </c>
      <c r="D965" s="54">
        <v>45571</v>
      </c>
      <c r="E965" s="42" t="s">
        <v>249</v>
      </c>
      <c r="F965" s="76" t="s">
        <v>57</v>
      </c>
      <c r="G965" s="52">
        <v>-70.900000000000006</v>
      </c>
      <c r="H965" s="32" t="s">
        <v>351</v>
      </c>
    </row>
    <row r="966" spans="1:8" ht="18.75">
      <c r="A966" t="s">
        <v>1566</v>
      </c>
      <c r="B966">
        <v>10</v>
      </c>
      <c r="C966">
        <v>2024</v>
      </c>
      <c r="D966" s="54">
        <v>45571</v>
      </c>
      <c r="E966" s="42" t="s">
        <v>249</v>
      </c>
      <c r="F966" s="76" t="s">
        <v>59</v>
      </c>
      <c r="G966" s="52">
        <v>-16</v>
      </c>
      <c r="H966" s="32" t="s">
        <v>1567</v>
      </c>
    </row>
    <row r="967" spans="1:8" ht="18.75">
      <c r="A967" t="s">
        <v>1568</v>
      </c>
      <c r="B967">
        <v>10</v>
      </c>
      <c r="C967">
        <v>2024</v>
      </c>
      <c r="D967" s="54">
        <v>45572</v>
      </c>
      <c r="E967" s="42" t="s">
        <v>249</v>
      </c>
      <c r="F967" s="76" t="s">
        <v>42</v>
      </c>
      <c r="G967" s="52">
        <v>-25.98</v>
      </c>
      <c r="H967" s="32" t="s">
        <v>278</v>
      </c>
    </row>
    <row r="968" spans="1:8" ht="18.75">
      <c r="A968" t="s">
        <v>1569</v>
      </c>
      <c r="B968">
        <v>10</v>
      </c>
      <c r="C968">
        <v>2024</v>
      </c>
      <c r="D968" s="54">
        <v>45572</v>
      </c>
      <c r="E968" s="42" t="s">
        <v>249</v>
      </c>
      <c r="F968" s="76" t="s">
        <v>65</v>
      </c>
      <c r="G968" s="52">
        <v>-51.43</v>
      </c>
      <c r="H968" s="32" t="s">
        <v>258</v>
      </c>
    </row>
    <row r="969" spans="1:8" ht="18.75">
      <c r="A969" t="s">
        <v>1570</v>
      </c>
      <c r="B969">
        <v>10</v>
      </c>
      <c r="C969">
        <v>2024</v>
      </c>
      <c r="D969" s="54">
        <v>45572</v>
      </c>
      <c r="E969" s="42" t="s">
        <v>160</v>
      </c>
      <c r="F969" s="76" t="s">
        <v>30</v>
      </c>
      <c r="G969" s="52">
        <v>-214.82</v>
      </c>
      <c r="H969" s="32" t="s">
        <v>196</v>
      </c>
    </row>
    <row r="970" spans="1:8" ht="18.75">
      <c r="A970" t="s">
        <v>1571</v>
      </c>
      <c r="B970">
        <v>10</v>
      </c>
      <c r="C970">
        <v>2024</v>
      </c>
      <c r="D970" s="54">
        <v>45572</v>
      </c>
      <c r="E970" s="42" t="s">
        <v>249</v>
      </c>
      <c r="F970" s="76" t="s">
        <v>32</v>
      </c>
      <c r="G970" s="52">
        <v>-65.58</v>
      </c>
      <c r="H970" s="32" t="s">
        <v>1572</v>
      </c>
    </row>
    <row r="971" spans="1:8" ht="18.75">
      <c r="A971" t="s">
        <v>1573</v>
      </c>
      <c r="B971">
        <v>10</v>
      </c>
      <c r="C971">
        <v>2024</v>
      </c>
      <c r="D971" s="54">
        <v>45573</v>
      </c>
      <c r="E971" s="42" t="s">
        <v>160</v>
      </c>
      <c r="F971" s="76" t="s">
        <v>51</v>
      </c>
      <c r="G971" s="52">
        <v>-125.87</v>
      </c>
      <c r="H971" s="32" t="s">
        <v>199</v>
      </c>
    </row>
    <row r="972" spans="1:8" ht="18.75">
      <c r="A972" t="s">
        <v>1574</v>
      </c>
      <c r="B972">
        <v>10</v>
      </c>
      <c r="C972">
        <v>2024</v>
      </c>
      <c r="D972" s="54">
        <v>45573</v>
      </c>
      <c r="E972" s="42" t="s">
        <v>249</v>
      </c>
      <c r="F972" s="76" t="s">
        <v>54</v>
      </c>
      <c r="G972" s="52">
        <v>-12.98</v>
      </c>
      <c r="H972" s="32" t="s">
        <v>671</v>
      </c>
    </row>
    <row r="973" spans="1:8" ht="18.75">
      <c r="A973" t="s">
        <v>1575</v>
      </c>
      <c r="B973">
        <v>10</v>
      </c>
      <c r="C973">
        <v>2024</v>
      </c>
      <c r="D973" s="54">
        <v>45573</v>
      </c>
      <c r="E973" s="42" t="s">
        <v>249</v>
      </c>
      <c r="F973" s="76" t="s">
        <v>59</v>
      </c>
      <c r="G973" s="52">
        <v>-39.47</v>
      </c>
      <c r="H973" s="32" t="s">
        <v>359</v>
      </c>
    </row>
    <row r="974" spans="1:8" ht="18.75">
      <c r="A974" t="s">
        <v>1576</v>
      </c>
      <c r="B974">
        <v>10</v>
      </c>
      <c r="C974">
        <v>2024</v>
      </c>
      <c r="D974" s="54">
        <v>45574</v>
      </c>
      <c r="E974" s="42" t="s">
        <v>249</v>
      </c>
      <c r="F974" s="76" t="s">
        <v>66</v>
      </c>
      <c r="G974" s="52">
        <v>-6</v>
      </c>
      <c r="H974" s="32" t="s">
        <v>1577</v>
      </c>
    </row>
    <row r="975" spans="1:8" ht="18.75">
      <c r="A975" t="s">
        <v>1578</v>
      </c>
      <c r="B975">
        <v>10</v>
      </c>
      <c r="C975">
        <v>2024</v>
      </c>
      <c r="D975" s="54">
        <v>45574</v>
      </c>
      <c r="E975" s="42" t="s">
        <v>249</v>
      </c>
      <c r="F975" s="76" t="s">
        <v>59</v>
      </c>
      <c r="G975" s="52">
        <v>-56.93</v>
      </c>
      <c r="H975" s="32" t="s">
        <v>351</v>
      </c>
    </row>
    <row r="976" spans="1:8" ht="18.75">
      <c r="A976" t="s">
        <v>1579</v>
      </c>
      <c r="B976">
        <v>10</v>
      </c>
      <c r="C976">
        <v>2024</v>
      </c>
      <c r="D976" s="54">
        <v>45575</v>
      </c>
      <c r="E976" s="42" t="s">
        <v>249</v>
      </c>
      <c r="F976" s="76" t="s">
        <v>52</v>
      </c>
      <c r="G976" s="52">
        <v>-59.99</v>
      </c>
      <c r="H976" s="32" t="s">
        <v>1580</v>
      </c>
    </row>
    <row r="977" spans="1:8" ht="18.75">
      <c r="A977" t="s">
        <v>1581</v>
      </c>
      <c r="B977">
        <v>10</v>
      </c>
      <c r="C977">
        <v>2024</v>
      </c>
      <c r="D977" s="54">
        <v>45575</v>
      </c>
      <c r="E977" s="42" t="s">
        <v>249</v>
      </c>
      <c r="F977" s="76" t="s">
        <v>46</v>
      </c>
      <c r="G977" s="52">
        <v>-20</v>
      </c>
      <c r="H977" s="32" t="s">
        <v>268</v>
      </c>
    </row>
    <row r="978" spans="1:8" ht="18.75">
      <c r="A978" t="s">
        <v>1582</v>
      </c>
      <c r="B978">
        <v>10</v>
      </c>
      <c r="C978">
        <v>2024</v>
      </c>
      <c r="D978" s="54">
        <v>45575</v>
      </c>
      <c r="E978" s="42" t="s">
        <v>249</v>
      </c>
      <c r="F978" s="76" t="s">
        <v>35</v>
      </c>
      <c r="G978" s="52">
        <v>-88.14</v>
      </c>
      <c r="H978" s="32" t="s">
        <v>285</v>
      </c>
    </row>
    <row r="979" spans="1:8" ht="18.75">
      <c r="A979" t="s">
        <v>1583</v>
      </c>
      <c r="B979">
        <v>10</v>
      </c>
      <c r="C979">
        <v>2024</v>
      </c>
      <c r="D979" s="54">
        <v>45575</v>
      </c>
      <c r="E979" s="42" t="s">
        <v>160</v>
      </c>
      <c r="F979" s="76" t="s">
        <v>79</v>
      </c>
      <c r="G979" s="52">
        <v>1282.33</v>
      </c>
      <c r="H979" s="32" t="s">
        <v>190</v>
      </c>
    </row>
    <row r="980" spans="1:8" ht="18.75">
      <c r="A980" t="s">
        <v>1584</v>
      </c>
      <c r="B980">
        <v>10</v>
      </c>
      <c r="C980">
        <v>2024</v>
      </c>
      <c r="D980" s="54">
        <v>45576</v>
      </c>
      <c r="E980" s="42" t="s">
        <v>249</v>
      </c>
      <c r="F980" s="76" t="s">
        <v>57</v>
      </c>
      <c r="G980" s="52">
        <v>-27.08</v>
      </c>
      <c r="H980" s="32" t="s">
        <v>351</v>
      </c>
    </row>
    <row r="981" spans="1:8" ht="18.75">
      <c r="A981" t="s">
        <v>1585</v>
      </c>
      <c r="B981">
        <v>10</v>
      </c>
      <c r="C981">
        <v>2024</v>
      </c>
      <c r="D981" s="54">
        <v>45577</v>
      </c>
      <c r="E981" s="42" t="s">
        <v>249</v>
      </c>
      <c r="F981" s="76" t="s">
        <v>56</v>
      </c>
      <c r="G981" s="52">
        <v>48.58</v>
      </c>
      <c r="H981" s="32" t="s">
        <v>601</v>
      </c>
    </row>
    <row r="982" spans="1:8" ht="18.75">
      <c r="A982" t="s">
        <v>1586</v>
      </c>
      <c r="B982">
        <v>10</v>
      </c>
      <c r="C982">
        <v>2024</v>
      </c>
      <c r="D982" s="54">
        <v>45580</v>
      </c>
      <c r="E982" s="42" t="s">
        <v>160</v>
      </c>
      <c r="F982" s="76" t="s">
        <v>36</v>
      </c>
      <c r="G982" s="52">
        <v>-70.47</v>
      </c>
      <c r="H982" s="32" t="s">
        <v>1587</v>
      </c>
    </row>
    <row r="983" spans="1:8" ht="18.75">
      <c r="A983" t="s">
        <v>1588</v>
      </c>
      <c r="B983">
        <v>10</v>
      </c>
      <c r="C983">
        <v>2024</v>
      </c>
      <c r="D983" s="54">
        <v>45593</v>
      </c>
      <c r="E983" s="42" t="s">
        <v>160</v>
      </c>
      <c r="F983" s="76" t="s">
        <v>49</v>
      </c>
      <c r="G983" s="52">
        <v>-50</v>
      </c>
      <c r="H983" s="32" t="s">
        <v>161</v>
      </c>
    </row>
    <row r="984" spans="1:8" ht="18.75">
      <c r="A984" t="s">
        <v>1589</v>
      </c>
      <c r="B984">
        <v>10</v>
      </c>
      <c r="C984">
        <v>2024</v>
      </c>
      <c r="D984" s="54">
        <v>45580</v>
      </c>
      <c r="E984" s="42" t="s">
        <v>160</v>
      </c>
      <c r="F984" s="76" t="s">
        <v>51</v>
      </c>
      <c r="G984" s="52">
        <v>-125.57</v>
      </c>
      <c r="H984" s="32" t="s">
        <v>210</v>
      </c>
    </row>
    <row r="985" spans="1:8" ht="18.75">
      <c r="A985" t="s">
        <v>1590</v>
      </c>
      <c r="B985">
        <v>10</v>
      </c>
      <c r="C985">
        <v>2024</v>
      </c>
      <c r="D985" s="54">
        <v>45580</v>
      </c>
      <c r="E985" s="42" t="s">
        <v>249</v>
      </c>
      <c r="F985" s="76" t="s">
        <v>399</v>
      </c>
      <c r="G985" s="52">
        <v>-35.1</v>
      </c>
      <c r="H985" s="32" t="s">
        <v>400</v>
      </c>
    </row>
    <row r="986" spans="1:8" ht="18.75">
      <c r="A986" t="s">
        <v>1591</v>
      </c>
      <c r="B986">
        <v>10</v>
      </c>
      <c r="C986">
        <v>2024</v>
      </c>
      <c r="D986" s="54">
        <v>45580</v>
      </c>
      <c r="E986" s="42" t="s">
        <v>249</v>
      </c>
      <c r="F986" s="76" t="s">
        <v>52</v>
      </c>
      <c r="G986" s="52">
        <v>-37.28</v>
      </c>
      <c r="H986" s="32" t="s">
        <v>1592</v>
      </c>
    </row>
    <row r="987" spans="1:8" ht="18.75">
      <c r="A987" t="s">
        <v>1593</v>
      </c>
      <c r="B987">
        <v>10</v>
      </c>
      <c r="C987">
        <v>2024</v>
      </c>
      <c r="D987" s="54">
        <v>45580</v>
      </c>
      <c r="E987" s="42" t="s">
        <v>160</v>
      </c>
      <c r="F987" s="76" t="s">
        <v>64</v>
      </c>
      <c r="G987" s="52">
        <v>-294</v>
      </c>
      <c r="H987" s="32" t="s">
        <v>208</v>
      </c>
    </row>
    <row r="988" spans="1:8" ht="18.75">
      <c r="A988" t="s">
        <v>1594</v>
      </c>
      <c r="B988">
        <v>10</v>
      </c>
      <c r="C988">
        <v>2024</v>
      </c>
      <c r="D988" s="54">
        <v>45580</v>
      </c>
      <c r="E988" s="42" t="s">
        <v>160</v>
      </c>
      <c r="F988" s="76" t="s">
        <v>43</v>
      </c>
      <c r="G988" s="52">
        <v>-9.0299999999999994</v>
      </c>
      <c r="H988" s="32" t="s">
        <v>163</v>
      </c>
    </row>
    <row r="989" spans="1:8" ht="18.75">
      <c r="A989" t="s">
        <v>1595</v>
      </c>
      <c r="B989">
        <v>10</v>
      </c>
      <c r="C989">
        <v>2024</v>
      </c>
      <c r="D989" s="54">
        <v>45580</v>
      </c>
      <c r="E989" s="42" t="s">
        <v>249</v>
      </c>
      <c r="F989" s="76" t="s">
        <v>57</v>
      </c>
      <c r="G989" s="52">
        <v>-9.07</v>
      </c>
      <c r="H989" s="32" t="s">
        <v>351</v>
      </c>
    </row>
    <row r="990" spans="1:8" ht="18.75">
      <c r="A990" t="s">
        <v>1596</v>
      </c>
      <c r="B990">
        <v>10</v>
      </c>
      <c r="C990">
        <v>2024</v>
      </c>
      <c r="D990" s="54">
        <v>45580</v>
      </c>
      <c r="E990" s="42" t="s">
        <v>249</v>
      </c>
      <c r="F990" s="76" t="s">
        <v>57</v>
      </c>
      <c r="G990" s="52">
        <v>-18.48</v>
      </c>
      <c r="H990" s="32" t="s">
        <v>1172</v>
      </c>
    </row>
    <row r="991" spans="1:8" ht="18.75">
      <c r="A991" t="s">
        <v>1597</v>
      </c>
      <c r="B991">
        <v>10</v>
      </c>
      <c r="C991">
        <v>2024</v>
      </c>
      <c r="D991" s="54">
        <v>45581</v>
      </c>
      <c r="E991" s="42" t="s">
        <v>249</v>
      </c>
      <c r="F991" s="76" t="s">
        <v>39</v>
      </c>
      <c r="G991" s="52">
        <v>-104.62</v>
      </c>
      <c r="H991" s="32" t="s">
        <v>304</v>
      </c>
    </row>
    <row r="992" spans="1:8" ht="18.75">
      <c r="A992" t="s">
        <v>1598</v>
      </c>
      <c r="B992">
        <v>10</v>
      </c>
      <c r="C992">
        <v>2024</v>
      </c>
      <c r="D992" s="54">
        <v>45581</v>
      </c>
      <c r="E992" s="42" t="s">
        <v>160</v>
      </c>
      <c r="F992" s="76" t="s">
        <v>60</v>
      </c>
      <c r="G992" s="52">
        <v>-87</v>
      </c>
      <c r="H992" s="32" t="s">
        <v>212</v>
      </c>
    </row>
    <row r="993" spans="1:8" ht="18.75">
      <c r="A993" t="s">
        <v>1599</v>
      </c>
      <c r="B993">
        <v>10</v>
      </c>
      <c r="C993">
        <v>2024</v>
      </c>
      <c r="D993" s="54">
        <v>45582</v>
      </c>
      <c r="E993" s="42" t="s">
        <v>249</v>
      </c>
      <c r="F993" s="76" t="s">
        <v>79</v>
      </c>
      <c r="G993" s="52">
        <v>2252.16</v>
      </c>
      <c r="H993" s="32" t="s">
        <v>306</v>
      </c>
    </row>
    <row r="994" spans="1:8" ht="18.75">
      <c r="A994" t="s">
        <v>1600</v>
      </c>
      <c r="B994">
        <v>10</v>
      </c>
      <c r="C994">
        <v>2024</v>
      </c>
      <c r="D994" s="54">
        <v>45582</v>
      </c>
      <c r="E994" s="42" t="s">
        <v>249</v>
      </c>
      <c r="F994" s="76" t="s">
        <v>54</v>
      </c>
      <c r="G994" s="52">
        <v>-12.31</v>
      </c>
      <c r="H994" s="32" t="s">
        <v>1601</v>
      </c>
    </row>
    <row r="995" spans="1:8" ht="18.75">
      <c r="A995" t="s">
        <v>1602</v>
      </c>
      <c r="B995">
        <v>10</v>
      </c>
      <c r="C995">
        <v>2024</v>
      </c>
      <c r="D995" s="54">
        <v>45582</v>
      </c>
      <c r="E995" s="42" t="s">
        <v>249</v>
      </c>
      <c r="F995" s="76" t="s">
        <v>54</v>
      </c>
      <c r="G995" s="52">
        <v>-14.88</v>
      </c>
      <c r="H995" s="32" t="s">
        <v>1603</v>
      </c>
    </row>
    <row r="996" spans="1:8" ht="18.75">
      <c r="A996" t="s">
        <v>1604</v>
      </c>
      <c r="B996">
        <v>10</v>
      </c>
      <c r="C996">
        <v>2024</v>
      </c>
      <c r="D996" s="54">
        <v>45582</v>
      </c>
      <c r="E996" s="42" t="s">
        <v>249</v>
      </c>
      <c r="F996" s="76" t="s">
        <v>32</v>
      </c>
      <c r="G996" s="52">
        <v>-58.69</v>
      </c>
      <c r="H996" s="32" t="s">
        <v>1605</v>
      </c>
    </row>
    <row r="997" spans="1:8" ht="18.75">
      <c r="A997" t="s">
        <v>1606</v>
      </c>
      <c r="B997">
        <v>10</v>
      </c>
      <c r="C997">
        <v>2024</v>
      </c>
      <c r="D997" s="54">
        <v>45583</v>
      </c>
      <c r="E997" s="42" t="s">
        <v>249</v>
      </c>
      <c r="F997" s="76" t="s">
        <v>31</v>
      </c>
      <c r="G997" s="52">
        <v>-6.36</v>
      </c>
      <c r="H997" s="32" t="s">
        <v>1607</v>
      </c>
    </row>
    <row r="998" spans="1:8" ht="18.75">
      <c r="A998" t="s">
        <v>1608</v>
      </c>
      <c r="B998">
        <v>10</v>
      </c>
      <c r="C998">
        <v>2024</v>
      </c>
      <c r="D998" s="54">
        <v>45583</v>
      </c>
      <c r="E998" s="42" t="s">
        <v>249</v>
      </c>
      <c r="F998" s="76" t="s">
        <v>31</v>
      </c>
      <c r="G998" s="52">
        <v>-13.24</v>
      </c>
      <c r="H998" s="32" t="s">
        <v>1609</v>
      </c>
    </row>
    <row r="999" spans="1:8" ht="18.75">
      <c r="A999" t="s">
        <v>1610</v>
      </c>
      <c r="B999">
        <v>10</v>
      </c>
      <c r="C999">
        <v>2024</v>
      </c>
      <c r="D999" s="54">
        <v>45583</v>
      </c>
      <c r="E999" s="42" t="s">
        <v>249</v>
      </c>
      <c r="F999" s="76" t="s">
        <v>31</v>
      </c>
      <c r="G999" s="52">
        <v>-13.5</v>
      </c>
      <c r="H999" s="32" t="s">
        <v>1611</v>
      </c>
    </row>
    <row r="1000" spans="1:8" ht="18.75">
      <c r="A1000" t="s">
        <v>1612</v>
      </c>
      <c r="B1000">
        <v>10</v>
      </c>
      <c r="C1000">
        <v>2024</v>
      </c>
      <c r="D1000" s="54">
        <v>45583</v>
      </c>
      <c r="E1000" s="42" t="s">
        <v>249</v>
      </c>
      <c r="F1000" s="76" t="s">
        <v>31</v>
      </c>
      <c r="G1000" s="52">
        <v>-3.39</v>
      </c>
      <c r="H1000" s="32" t="s">
        <v>1613</v>
      </c>
    </row>
    <row r="1001" spans="1:8" ht="18.75">
      <c r="A1001" t="s">
        <v>1612</v>
      </c>
      <c r="B1001">
        <v>10</v>
      </c>
      <c r="C1001">
        <v>2024</v>
      </c>
      <c r="D1001" s="54">
        <v>45583</v>
      </c>
      <c r="E1001" s="42" t="s">
        <v>249</v>
      </c>
      <c r="F1001" s="76" t="s">
        <v>31</v>
      </c>
      <c r="G1001" s="52">
        <v>-3.39</v>
      </c>
      <c r="H1001" s="32" t="s">
        <v>1613</v>
      </c>
    </row>
    <row r="1002" spans="1:8" ht="18.75">
      <c r="A1002" t="s">
        <v>1614</v>
      </c>
      <c r="B1002">
        <v>10</v>
      </c>
      <c r="C1002">
        <v>2024</v>
      </c>
      <c r="D1002" s="54">
        <v>45583</v>
      </c>
      <c r="E1002" s="42" t="s">
        <v>249</v>
      </c>
      <c r="F1002" s="76" t="s">
        <v>31</v>
      </c>
      <c r="G1002" s="52">
        <v>-69.290000000000006</v>
      </c>
      <c r="H1002" s="32" t="s">
        <v>1615</v>
      </c>
    </row>
    <row r="1003" spans="1:8" ht="18.75">
      <c r="A1003" t="s">
        <v>1616</v>
      </c>
      <c r="B1003">
        <v>10</v>
      </c>
      <c r="C1003">
        <v>2024</v>
      </c>
      <c r="D1003" s="54">
        <v>45583</v>
      </c>
      <c r="E1003" s="42" t="s">
        <v>249</v>
      </c>
      <c r="F1003" s="76" t="s">
        <v>31</v>
      </c>
      <c r="G1003" s="52">
        <v>-54.12</v>
      </c>
      <c r="H1003" s="32" t="s">
        <v>1617</v>
      </c>
    </row>
    <row r="1004" spans="1:8" ht="18.75">
      <c r="A1004" t="s">
        <v>1618</v>
      </c>
      <c r="B1004">
        <v>10</v>
      </c>
      <c r="C1004">
        <v>2024</v>
      </c>
      <c r="D1004" s="54">
        <v>45583</v>
      </c>
      <c r="E1004" s="42" t="s">
        <v>249</v>
      </c>
      <c r="F1004" s="76" t="s">
        <v>31</v>
      </c>
      <c r="G1004" s="52">
        <v>-144.77000000000001</v>
      </c>
      <c r="H1004" s="32" t="s">
        <v>1619</v>
      </c>
    </row>
    <row r="1005" spans="1:8" ht="18.75">
      <c r="A1005" t="s">
        <v>1620</v>
      </c>
      <c r="B1005">
        <v>10</v>
      </c>
      <c r="C1005">
        <v>2024</v>
      </c>
      <c r="D1005" s="54">
        <v>45583</v>
      </c>
      <c r="E1005" s="42" t="s">
        <v>249</v>
      </c>
      <c r="F1005" s="76" t="s">
        <v>31</v>
      </c>
      <c r="G1005" s="52">
        <v>-109.69</v>
      </c>
      <c r="H1005" s="32" t="s">
        <v>1621</v>
      </c>
    </row>
    <row r="1006" spans="1:8" ht="18.75">
      <c r="A1006" t="s">
        <v>1622</v>
      </c>
      <c r="B1006">
        <v>10</v>
      </c>
      <c r="C1006">
        <v>2024</v>
      </c>
      <c r="D1006" s="54">
        <v>45583</v>
      </c>
      <c r="E1006" s="42" t="s">
        <v>249</v>
      </c>
      <c r="F1006" s="76" t="s">
        <v>31</v>
      </c>
      <c r="G1006" s="52">
        <v>-32.78</v>
      </c>
      <c r="H1006" s="32" t="s">
        <v>1623</v>
      </c>
    </row>
    <row r="1007" spans="1:8" ht="18.75">
      <c r="A1007" t="s">
        <v>1624</v>
      </c>
      <c r="B1007">
        <v>10</v>
      </c>
      <c r="C1007">
        <v>2024</v>
      </c>
      <c r="D1007" s="54">
        <v>45583</v>
      </c>
      <c r="E1007" s="42" t="s">
        <v>249</v>
      </c>
      <c r="F1007" s="76" t="s">
        <v>31</v>
      </c>
      <c r="G1007" s="52">
        <v>-119.9</v>
      </c>
      <c r="H1007" s="32" t="s">
        <v>1625</v>
      </c>
    </row>
    <row r="1008" spans="1:8" ht="18.75">
      <c r="A1008" t="s">
        <v>1626</v>
      </c>
      <c r="B1008">
        <v>10</v>
      </c>
      <c r="C1008">
        <v>2024</v>
      </c>
      <c r="D1008" s="54">
        <v>45583</v>
      </c>
      <c r="E1008" s="42" t="s">
        <v>160</v>
      </c>
      <c r="F1008" s="76" t="s">
        <v>33</v>
      </c>
      <c r="G1008" s="52">
        <v>-443.25</v>
      </c>
      <c r="H1008" s="32" t="s">
        <v>169</v>
      </c>
    </row>
    <row r="1009" spans="1:8" ht="18.75">
      <c r="A1009" t="s">
        <v>1627</v>
      </c>
      <c r="B1009">
        <v>10</v>
      </c>
      <c r="C1009">
        <v>2024</v>
      </c>
      <c r="D1009" s="54">
        <v>45583</v>
      </c>
      <c r="E1009" s="42" t="s">
        <v>160</v>
      </c>
      <c r="F1009" s="76" t="s">
        <v>79</v>
      </c>
      <c r="G1009" s="52">
        <v>-2252.16</v>
      </c>
      <c r="H1009" s="32" t="s">
        <v>214</v>
      </c>
    </row>
    <row r="1010" spans="1:8" ht="18.75">
      <c r="A1010" t="s">
        <v>1628</v>
      </c>
      <c r="B1010">
        <v>10</v>
      </c>
      <c r="C1010">
        <v>2024</v>
      </c>
      <c r="D1010" s="54">
        <v>45584</v>
      </c>
      <c r="E1010" s="42" t="s">
        <v>249</v>
      </c>
      <c r="F1010" s="76" t="s">
        <v>31</v>
      </c>
      <c r="G1010" s="52">
        <v>-37.159999999999997</v>
      </c>
      <c r="H1010" s="32" t="s">
        <v>1629</v>
      </c>
    </row>
    <row r="1011" spans="1:8" ht="18.75">
      <c r="A1011" t="s">
        <v>1630</v>
      </c>
      <c r="B1011">
        <v>10</v>
      </c>
      <c r="C1011">
        <v>2024</v>
      </c>
      <c r="D1011" s="54">
        <v>45584</v>
      </c>
      <c r="E1011" s="42" t="s">
        <v>249</v>
      </c>
      <c r="F1011" s="76" t="s">
        <v>31</v>
      </c>
      <c r="G1011" s="52">
        <v>-98.12</v>
      </c>
      <c r="H1011" s="32" t="s">
        <v>1631</v>
      </c>
    </row>
    <row r="1012" spans="1:8" ht="18.75">
      <c r="A1012" t="s">
        <v>1632</v>
      </c>
      <c r="B1012">
        <v>10</v>
      </c>
      <c r="C1012">
        <v>2024</v>
      </c>
      <c r="D1012" s="54">
        <v>45584</v>
      </c>
      <c r="E1012" s="42" t="s">
        <v>249</v>
      </c>
      <c r="F1012" s="76" t="s">
        <v>31</v>
      </c>
      <c r="G1012" s="52">
        <v>-14.76</v>
      </c>
      <c r="H1012" s="32" t="s">
        <v>1633</v>
      </c>
    </row>
    <row r="1013" spans="1:8" ht="18.75">
      <c r="A1013" t="s">
        <v>1634</v>
      </c>
      <c r="B1013">
        <v>10</v>
      </c>
      <c r="C1013">
        <v>2024</v>
      </c>
      <c r="D1013" s="54">
        <v>45585</v>
      </c>
      <c r="E1013" s="42" t="s">
        <v>249</v>
      </c>
      <c r="F1013" s="76" t="s">
        <v>31</v>
      </c>
      <c r="G1013" s="52">
        <v>-3.9</v>
      </c>
      <c r="H1013" s="32" t="s">
        <v>1635</v>
      </c>
    </row>
    <row r="1014" spans="1:8" ht="18.75">
      <c r="A1014" t="s">
        <v>1636</v>
      </c>
      <c r="B1014">
        <v>10</v>
      </c>
      <c r="C1014">
        <v>2024</v>
      </c>
      <c r="D1014" s="54">
        <v>45585</v>
      </c>
      <c r="E1014" s="42" t="s">
        <v>249</v>
      </c>
      <c r="F1014" s="76" t="s">
        <v>31</v>
      </c>
      <c r="G1014" s="52">
        <v>-18.059999999999999</v>
      </c>
      <c r="H1014" s="32" t="s">
        <v>1637</v>
      </c>
    </row>
    <row r="1015" spans="1:8" ht="18.75">
      <c r="A1015" t="s">
        <v>1638</v>
      </c>
      <c r="B1015">
        <v>10</v>
      </c>
      <c r="C1015">
        <v>2024</v>
      </c>
      <c r="D1015" s="54">
        <v>45585</v>
      </c>
      <c r="E1015" s="42" t="s">
        <v>249</v>
      </c>
      <c r="F1015" s="76" t="s">
        <v>31</v>
      </c>
      <c r="G1015" s="52">
        <v>-45.48</v>
      </c>
      <c r="H1015" s="32" t="s">
        <v>1639</v>
      </c>
    </row>
    <row r="1016" spans="1:8" ht="18.75">
      <c r="A1016" t="s">
        <v>1640</v>
      </c>
      <c r="B1016">
        <v>10</v>
      </c>
      <c r="C1016">
        <v>2024</v>
      </c>
      <c r="D1016" s="54">
        <v>45585</v>
      </c>
      <c r="E1016" s="42" t="s">
        <v>249</v>
      </c>
      <c r="F1016" s="76" t="s">
        <v>31</v>
      </c>
      <c r="G1016" s="52">
        <v>-49.09</v>
      </c>
      <c r="H1016" s="32" t="s">
        <v>1641</v>
      </c>
    </row>
    <row r="1017" spans="1:8" ht="18.75">
      <c r="A1017" t="s">
        <v>1642</v>
      </c>
      <c r="B1017">
        <v>10</v>
      </c>
      <c r="C1017">
        <v>2024</v>
      </c>
      <c r="D1017" s="54">
        <v>45585</v>
      </c>
      <c r="E1017" s="42" t="s">
        <v>249</v>
      </c>
      <c r="F1017" s="76" t="s">
        <v>31</v>
      </c>
      <c r="G1017" s="52">
        <v>-181.7</v>
      </c>
      <c r="H1017" s="32" t="s">
        <v>1643</v>
      </c>
    </row>
    <row r="1018" spans="1:8" ht="18.75">
      <c r="A1018" t="s">
        <v>1644</v>
      </c>
      <c r="B1018">
        <v>10</v>
      </c>
      <c r="C1018">
        <v>2024</v>
      </c>
      <c r="D1018" s="54">
        <v>45585</v>
      </c>
      <c r="E1018" s="42" t="s">
        <v>249</v>
      </c>
      <c r="F1018" s="76" t="s">
        <v>31</v>
      </c>
      <c r="G1018" s="52">
        <v>-33.97</v>
      </c>
      <c r="H1018" s="32" t="s">
        <v>1645</v>
      </c>
    </row>
    <row r="1019" spans="1:8" ht="18.75">
      <c r="A1019" t="s">
        <v>1646</v>
      </c>
      <c r="B1019">
        <v>10</v>
      </c>
      <c r="C1019">
        <v>2024</v>
      </c>
      <c r="D1019" s="54">
        <v>45585</v>
      </c>
      <c r="E1019" s="42" t="s">
        <v>249</v>
      </c>
      <c r="F1019" s="76" t="s">
        <v>31</v>
      </c>
      <c r="G1019" s="52">
        <v>-25.06</v>
      </c>
      <c r="H1019" s="32" t="s">
        <v>1647</v>
      </c>
    </row>
    <row r="1020" spans="1:8" ht="18.75">
      <c r="A1020" t="s">
        <v>1648</v>
      </c>
      <c r="B1020">
        <v>10</v>
      </c>
      <c r="C1020">
        <v>2024</v>
      </c>
      <c r="D1020" s="54">
        <v>45586</v>
      </c>
      <c r="E1020" s="42" t="s">
        <v>249</v>
      </c>
      <c r="F1020" s="76" t="s">
        <v>58</v>
      </c>
      <c r="G1020" s="52">
        <v>-55.37</v>
      </c>
      <c r="H1020" s="32" t="s">
        <v>308</v>
      </c>
    </row>
    <row r="1021" spans="1:8" ht="18.75">
      <c r="A1021" t="s">
        <v>1649</v>
      </c>
      <c r="B1021">
        <v>10</v>
      </c>
      <c r="C1021">
        <v>2024</v>
      </c>
      <c r="D1021" s="54">
        <v>45586</v>
      </c>
      <c r="E1021" s="42" t="s">
        <v>160</v>
      </c>
      <c r="F1021" s="76" t="s">
        <v>63</v>
      </c>
      <c r="G1021" s="52">
        <v>-108.92</v>
      </c>
      <c r="H1021" s="32" t="s">
        <v>224</v>
      </c>
    </row>
    <row r="1022" spans="1:8" ht="18.75">
      <c r="A1022" t="s">
        <v>1650</v>
      </c>
      <c r="B1022">
        <v>10</v>
      </c>
      <c r="C1022">
        <v>2024</v>
      </c>
      <c r="D1022" s="54">
        <v>45586</v>
      </c>
      <c r="E1022" s="42" t="s">
        <v>249</v>
      </c>
      <c r="F1022" s="76" t="s">
        <v>57</v>
      </c>
      <c r="G1022" s="52">
        <v>-90.18</v>
      </c>
      <c r="H1022" s="32" t="s">
        <v>351</v>
      </c>
    </row>
    <row r="1023" spans="1:8" ht="18.75">
      <c r="A1023" s="77" t="s">
        <v>1651</v>
      </c>
      <c r="B1023">
        <v>10</v>
      </c>
      <c r="C1023">
        <v>2024</v>
      </c>
      <c r="D1023" s="54">
        <v>45586</v>
      </c>
      <c r="E1023" s="42" t="s">
        <v>249</v>
      </c>
      <c r="F1023" s="76" t="s">
        <v>59</v>
      </c>
      <c r="G1023" s="52">
        <v>-44.89</v>
      </c>
      <c r="H1023" s="32" t="s">
        <v>1652</v>
      </c>
    </row>
    <row r="1024" spans="1:8" ht="18.75">
      <c r="A1024" t="s">
        <v>1653</v>
      </c>
      <c r="B1024">
        <v>10</v>
      </c>
      <c r="C1024">
        <v>2024</v>
      </c>
      <c r="D1024" s="54">
        <v>45588</v>
      </c>
      <c r="E1024" s="42" t="s">
        <v>249</v>
      </c>
      <c r="F1024" s="76" t="s">
        <v>79</v>
      </c>
      <c r="G1024" s="52">
        <v>-13.63</v>
      </c>
      <c r="H1024" s="32" t="s">
        <v>671</v>
      </c>
    </row>
    <row r="1025" spans="1:8" ht="18.75">
      <c r="A1025" t="s">
        <v>1654</v>
      </c>
      <c r="B1025">
        <v>10</v>
      </c>
      <c r="C1025">
        <v>2024</v>
      </c>
      <c r="D1025" s="54">
        <v>45588</v>
      </c>
      <c r="E1025" s="42" t="s">
        <v>160</v>
      </c>
      <c r="F1025" s="76" t="s">
        <v>79</v>
      </c>
      <c r="G1025" s="52">
        <v>2024.35</v>
      </c>
      <c r="H1025" s="32" t="s">
        <v>1655</v>
      </c>
    </row>
    <row r="1026" spans="1:8" ht="18.75">
      <c r="A1026" t="s">
        <v>1656</v>
      </c>
      <c r="B1026">
        <v>10</v>
      </c>
      <c r="C1026">
        <v>2024</v>
      </c>
      <c r="D1026" s="54">
        <v>45589</v>
      </c>
      <c r="E1026" s="42" t="s">
        <v>160</v>
      </c>
      <c r="F1026" s="76" t="s">
        <v>33</v>
      </c>
      <c r="G1026" s="52">
        <v>-443.09</v>
      </c>
      <c r="H1026" s="32" t="s">
        <v>1657</v>
      </c>
    </row>
    <row r="1027" spans="1:8" ht="18.75">
      <c r="A1027" t="s">
        <v>1658</v>
      </c>
      <c r="B1027">
        <v>10</v>
      </c>
      <c r="C1027">
        <v>2024</v>
      </c>
      <c r="D1027" s="54">
        <v>45589</v>
      </c>
      <c r="E1027" s="42" t="s">
        <v>160</v>
      </c>
      <c r="F1027" s="76" t="s">
        <v>79</v>
      </c>
      <c r="G1027" s="52">
        <v>1282.33</v>
      </c>
      <c r="H1027" s="32" t="s">
        <v>190</v>
      </c>
    </row>
    <row r="1028" spans="1:8" ht="18.75">
      <c r="A1028" t="s">
        <v>1659</v>
      </c>
      <c r="B1028">
        <v>10</v>
      </c>
      <c r="C1028">
        <v>2024</v>
      </c>
      <c r="D1028" s="54">
        <v>45589</v>
      </c>
      <c r="E1028" s="42" t="s">
        <v>160</v>
      </c>
      <c r="F1028" s="76" t="s">
        <v>29</v>
      </c>
      <c r="G1028" s="52">
        <v>-225.75</v>
      </c>
      <c r="H1028" s="32" t="s">
        <v>167</v>
      </c>
    </row>
    <row r="1029" spans="1:8" ht="18.75">
      <c r="A1029" t="s">
        <v>1660</v>
      </c>
      <c r="B1029">
        <v>10</v>
      </c>
      <c r="C1029">
        <v>2024</v>
      </c>
      <c r="D1029" s="54">
        <v>45590</v>
      </c>
      <c r="E1029" s="42" t="s">
        <v>160</v>
      </c>
      <c r="F1029" s="76" t="s">
        <v>48</v>
      </c>
      <c r="G1029" s="52">
        <v>-4</v>
      </c>
      <c r="H1029" s="32" t="s">
        <v>228</v>
      </c>
    </row>
    <row r="1030" spans="1:8" ht="18.75">
      <c r="A1030" t="s">
        <v>1661</v>
      </c>
      <c r="B1030">
        <v>10</v>
      </c>
      <c r="C1030">
        <v>2024</v>
      </c>
      <c r="D1030" s="54">
        <v>45590</v>
      </c>
      <c r="E1030" s="42" t="s">
        <v>160</v>
      </c>
      <c r="F1030" s="76" t="s">
        <v>48</v>
      </c>
      <c r="G1030" s="52">
        <v>-8.75</v>
      </c>
      <c r="H1030" s="32" t="s">
        <v>746</v>
      </c>
    </row>
    <row r="1031" spans="1:8" ht="18.75">
      <c r="A1031" t="s">
        <v>1662</v>
      </c>
      <c r="B1031">
        <v>10</v>
      </c>
      <c r="C1031">
        <v>2024</v>
      </c>
      <c r="D1031" s="54">
        <v>45591</v>
      </c>
      <c r="E1031" s="42" t="s">
        <v>249</v>
      </c>
      <c r="F1031" s="76" t="s">
        <v>65</v>
      </c>
      <c r="G1031" s="52">
        <v>-81.34</v>
      </c>
      <c r="H1031" s="32" t="s">
        <v>1663</v>
      </c>
    </row>
    <row r="1032" spans="1:8" ht="18.75">
      <c r="A1032" t="s">
        <v>1664</v>
      </c>
      <c r="B1032">
        <v>10</v>
      </c>
      <c r="C1032">
        <v>2024</v>
      </c>
      <c r="D1032" s="54">
        <v>45591</v>
      </c>
      <c r="E1032" s="42" t="s">
        <v>249</v>
      </c>
      <c r="F1032" s="76" t="s">
        <v>65</v>
      </c>
      <c r="G1032" s="52">
        <v>-66.09</v>
      </c>
      <c r="H1032" s="32" t="s">
        <v>1665</v>
      </c>
    </row>
    <row r="1033" spans="1:8" ht="18.75">
      <c r="A1033" t="s">
        <v>1666</v>
      </c>
      <c r="B1033">
        <v>10</v>
      </c>
      <c r="C1033">
        <v>2024</v>
      </c>
      <c r="D1033" s="54">
        <v>45591</v>
      </c>
      <c r="E1033" s="42" t="s">
        <v>249</v>
      </c>
      <c r="F1033" s="76" t="s">
        <v>47</v>
      </c>
      <c r="G1033" s="52">
        <v>-30.48</v>
      </c>
      <c r="H1033" s="32" t="s">
        <v>724</v>
      </c>
    </row>
    <row r="1034" spans="1:8" ht="18.75">
      <c r="B1034">
        <v>10</v>
      </c>
      <c r="C1034">
        <v>2024</v>
      </c>
      <c r="D1034" s="54">
        <v>45591</v>
      </c>
      <c r="E1034" s="42" t="s">
        <v>249</v>
      </c>
      <c r="F1034" s="76" t="s">
        <v>50</v>
      </c>
      <c r="G1034" s="52">
        <v>-30</v>
      </c>
      <c r="H1034" s="32" t="s">
        <v>1667</v>
      </c>
    </row>
    <row r="1035" spans="1:8" ht="18.75">
      <c r="A1035" t="s">
        <v>1668</v>
      </c>
      <c r="B1035">
        <v>10</v>
      </c>
      <c r="C1035">
        <v>2024</v>
      </c>
      <c r="D1035" s="54">
        <v>45592</v>
      </c>
      <c r="E1035" s="42" t="s">
        <v>249</v>
      </c>
      <c r="F1035" s="76" t="s">
        <v>65</v>
      </c>
      <c r="G1035" s="52">
        <v>-140.22</v>
      </c>
      <c r="H1035" s="32" t="s">
        <v>1669</v>
      </c>
    </row>
    <row r="1036" spans="1:8" ht="18.75">
      <c r="A1036" t="s">
        <v>1670</v>
      </c>
      <c r="B1036">
        <v>10</v>
      </c>
      <c r="C1036">
        <v>2024</v>
      </c>
      <c r="D1036" s="54">
        <v>45592</v>
      </c>
      <c r="E1036" s="42" t="s">
        <v>249</v>
      </c>
      <c r="F1036" s="76" t="s">
        <v>65</v>
      </c>
      <c r="G1036" s="52">
        <v>-135.59</v>
      </c>
      <c r="H1036" s="32" t="s">
        <v>1671</v>
      </c>
    </row>
    <row r="1037" spans="1:8" ht="18.75">
      <c r="A1037" t="s">
        <v>1672</v>
      </c>
      <c r="B1037">
        <v>10</v>
      </c>
      <c r="C1037">
        <v>2024</v>
      </c>
      <c r="D1037" s="54">
        <v>45592</v>
      </c>
      <c r="E1037" s="42" t="s">
        <v>249</v>
      </c>
      <c r="F1037" s="76" t="s">
        <v>65</v>
      </c>
      <c r="G1037" s="52">
        <v>-34.57</v>
      </c>
      <c r="H1037" s="32" t="s">
        <v>1673</v>
      </c>
    </row>
    <row r="1038" spans="1:8" ht="18.75">
      <c r="A1038" t="s">
        <v>1674</v>
      </c>
      <c r="B1038">
        <v>10</v>
      </c>
      <c r="C1038">
        <v>2024</v>
      </c>
      <c r="D1038" s="54">
        <v>45592</v>
      </c>
      <c r="E1038" s="42" t="s">
        <v>249</v>
      </c>
      <c r="F1038" s="76" t="s">
        <v>57</v>
      </c>
      <c r="G1038" s="52">
        <v>-96.11</v>
      </c>
      <c r="H1038" s="32" t="s">
        <v>351</v>
      </c>
    </row>
    <row r="1039" spans="1:8" ht="18.75">
      <c r="A1039" t="s">
        <v>1675</v>
      </c>
      <c r="B1039">
        <v>11</v>
      </c>
      <c r="C1039">
        <v>2024</v>
      </c>
      <c r="D1039" s="54">
        <v>45597</v>
      </c>
      <c r="E1039" s="42" t="s">
        <v>160</v>
      </c>
      <c r="F1039" s="76" t="s">
        <v>49</v>
      </c>
      <c r="G1039" s="52">
        <v>-50</v>
      </c>
      <c r="H1039" s="32" t="s">
        <v>173</v>
      </c>
    </row>
    <row r="1040" spans="1:8" ht="18.75">
      <c r="A1040" t="s">
        <v>1676</v>
      </c>
      <c r="B1040">
        <v>10</v>
      </c>
      <c r="C1040">
        <v>2024</v>
      </c>
      <c r="D1040" s="54">
        <v>45594</v>
      </c>
      <c r="E1040" s="42" t="s">
        <v>249</v>
      </c>
      <c r="F1040" s="76" t="s">
        <v>58</v>
      </c>
      <c r="G1040" s="52">
        <v>-14.69</v>
      </c>
      <c r="H1040" s="32" t="s">
        <v>1677</v>
      </c>
    </row>
    <row r="1041" spans="1:8" ht="18.75">
      <c r="A1041" t="s">
        <v>1678</v>
      </c>
      <c r="B1041">
        <v>10</v>
      </c>
      <c r="C1041">
        <v>2024</v>
      </c>
      <c r="D1041" s="54">
        <v>45594</v>
      </c>
      <c r="E1041" s="42" t="s">
        <v>249</v>
      </c>
      <c r="F1041" s="76" t="s">
        <v>52</v>
      </c>
      <c r="G1041" s="52">
        <v>-52.58</v>
      </c>
      <c r="H1041" s="32" t="s">
        <v>1125</v>
      </c>
    </row>
    <row r="1042" spans="1:8" ht="18.75">
      <c r="A1042" t="s">
        <v>1679</v>
      </c>
      <c r="B1042">
        <v>10</v>
      </c>
      <c r="C1042">
        <v>2024</v>
      </c>
      <c r="D1042" s="54">
        <v>45594</v>
      </c>
      <c r="E1042" s="42" t="s">
        <v>160</v>
      </c>
      <c r="F1042" s="76" t="s">
        <v>43</v>
      </c>
      <c r="G1042" s="52">
        <v>-9.0299999999999994</v>
      </c>
      <c r="H1042" s="32" t="s">
        <v>163</v>
      </c>
    </row>
    <row r="1043" spans="1:8" ht="18.75">
      <c r="A1043" t="s">
        <v>1680</v>
      </c>
      <c r="B1043">
        <v>10</v>
      </c>
      <c r="C1043">
        <v>2024</v>
      </c>
      <c r="D1043" s="54">
        <v>45594</v>
      </c>
      <c r="E1043" s="42" t="s">
        <v>249</v>
      </c>
      <c r="F1043" s="76" t="s">
        <v>54</v>
      </c>
      <c r="G1043" s="52">
        <v>-19.2</v>
      </c>
      <c r="H1043" s="32" t="s">
        <v>1681</v>
      </c>
    </row>
    <row r="1044" spans="1:8" ht="18.75">
      <c r="A1044" t="s">
        <v>1682</v>
      </c>
      <c r="B1044">
        <v>10</v>
      </c>
      <c r="C1044">
        <v>2024</v>
      </c>
      <c r="D1044" s="54">
        <v>45594</v>
      </c>
      <c r="E1044" s="42" t="s">
        <v>249</v>
      </c>
      <c r="F1044" s="76" t="s">
        <v>59</v>
      </c>
      <c r="G1044" s="52">
        <v>-15.8</v>
      </c>
      <c r="H1044" s="32" t="s">
        <v>1263</v>
      </c>
    </row>
    <row r="1045" spans="1:8" ht="18.75">
      <c r="A1045" t="s">
        <v>1683</v>
      </c>
      <c r="B1045">
        <v>10</v>
      </c>
      <c r="C1045">
        <v>2024</v>
      </c>
      <c r="D1045" s="54">
        <v>45594</v>
      </c>
      <c r="E1045" s="42" t="s">
        <v>249</v>
      </c>
      <c r="F1045" s="76" t="s">
        <v>59</v>
      </c>
      <c r="G1045" s="52">
        <v>-22.33</v>
      </c>
      <c r="H1045" s="32" t="s">
        <v>282</v>
      </c>
    </row>
    <row r="1046" spans="1:8" ht="18.75">
      <c r="A1046" t="s">
        <v>1684</v>
      </c>
      <c r="B1046">
        <v>10</v>
      </c>
      <c r="C1046">
        <v>2024</v>
      </c>
      <c r="D1046" s="54">
        <v>45596</v>
      </c>
      <c r="E1046" s="42" t="s">
        <v>249</v>
      </c>
      <c r="F1046" s="76" t="s">
        <v>58</v>
      </c>
      <c r="G1046" s="52">
        <v>-5.93</v>
      </c>
      <c r="H1046" s="32" t="s">
        <v>308</v>
      </c>
    </row>
    <row r="1047" spans="1:8" ht="18.75">
      <c r="A1047" t="s">
        <v>1685</v>
      </c>
      <c r="B1047">
        <v>10</v>
      </c>
      <c r="C1047">
        <v>2024</v>
      </c>
      <c r="D1047" s="54">
        <v>45596</v>
      </c>
      <c r="E1047" s="42" t="s">
        <v>249</v>
      </c>
      <c r="F1047" s="76" t="s">
        <v>32</v>
      </c>
      <c r="G1047" s="52">
        <v>-65.290000000000006</v>
      </c>
      <c r="H1047" s="32" t="s">
        <v>646</v>
      </c>
    </row>
    <row r="1048" spans="1:8" ht="18.75">
      <c r="A1048" t="s">
        <v>1686</v>
      </c>
      <c r="B1048">
        <v>11</v>
      </c>
      <c r="C1048">
        <v>2024</v>
      </c>
      <c r="D1048" s="54">
        <v>45597</v>
      </c>
      <c r="E1048" s="42" t="s">
        <v>249</v>
      </c>
      <c r="F1048" s="76" t="s">
        <v>45</v>
      </c>
      <c r="G1048" s="52">
        <v>-32.4</v>
      </c>
      <c r="H1048" s="32" t="s">
        <v>1277</v>
      </c>
    </row>
    <row r="1049" spans="1:8" ht="18.75">
      <c r="A1049" t="s">
        <v>1687</v>
      </c>
      <c r="B1049">
        <v>11</v>
      </c>
      <c r="C1049">
        <v>2024</v>
      </c>
      <c r="D1049" s="54">
        <v>45597</v>
      </c>
      <c r="E1049" s="42" t="s">
        <v>249</v>
      </c>
      <c r="F1049" s="76" t="s">
        <v>45</v>
      </c>
      <c r="G1049" s="52">
        <v>-36.159999999999997</v>
      </c>
      <c r="H1049" s="32" t="s">
        <v>1688</v>
      </c>
    </row>
    <row r="1050" spans="1:8" ht="18.75">
      <c r="A1050" t="s">
        <v>1689</v>
      </c>
      <c r="B1050">
        <v>11</v>
      </c>
      <c r="C1050">
        <v>2024</v>
      </c>
      <c r="D1050" s="54">
        <v>45608</v>
      </c>
      <c r="E1050" s="42" t="s">
        <v>160</v>
      </c>
      <c r="F1050" s="76" t="s">
        <v>49</v>
      </c>
      <c r="G1050" s="52">
        <v>-50</v>
      </c>
      <c r="H1050" s="32" t="s">
        <v>161</v>
      </c>
    </row>
    <row r="1051" spans="1:8" ht="18.75">
      <c r="A1051" t="s">
        <v>1690</v>
      </c>
      <c r="B1051">
        <v>11</v>
      </c>
      <c r="C1051">
        <v>2024</v>
      </c>
      <c r="D1051" s="54">
        <v>45597</v>
      </c>
      <c r="E1051" s="42" t="s">
        <v>160</v>
      </c>
      <c r="F1051" s="76" t="s">
        <v>33</v>
      </c>
      <c r="G1051" s="52">
        <v>-443.25</v>
      </c>
      <c r="H1051" s="32" t="s">
        <v>169</v>
      </c>
    </row>
    <row r="1052" spans="1:8" ht="18.75">
      <c r="A1052" t="s">
        <v>1691</v>
      </c>
      <c r="B1052">
        <v>11</v>
      </c>
      <c r="C1052">
        <v>2024</v>
      </c>
      <c r="D1052" s="54">
        <v>45597</v>
      </c>
      <c r="E1052" s="42" t="s">
        <v>249</v>
      </c>
      <c r="F1052" s="76" t="s">
        <v>48</v>
      </c>
      <c r="G1052" s="52">
        <v>-39</v>
      </c>
      <c r="H1052" s="32" t="s">
        <v>1692</v>
      </c>
    </row>
    <row r="1053" spans="1:8" ht="18.75">
      <c r="A1053" t="s">
        <v>1693</v>
      </c>
      <c r="B1053">
        <v>11</v>
      </c>
      <c r="C1053">
        <v>2024</v>
      </c>
      <c r="D1053" s="54">
        <v>45597</v>
      </c>
      <c r="E1053" s="42" t="s">
        <v>146</v>
      </c>
      <c r="F1053" s="76" t="s">
        <v>48</v>
      </c>
      <c r="G1053" s="52">
        <v>7.62</v>
      </c>
      <c r="H1053" s="32" t="s">
        <v>175</v>
      </c>
    </row>
    <row r="1054" spans="1:8" ht="18.75">
      <c r="A1054" t="s">
        <v>1694</v>
      </c>
      <c r="B1054">
        <v>11</v>
      </c>
      <c r="C1054">
        <v>2024</v>
      </c>
      <c r="D1054" s="54">
        <v>45597</v>
      </c>
      <c r="E1054" s="42" t="s">
        <v>160</v>
      </c>
      <c r="F1054" s="76" t="s">
        <v>79</v>
      </c>
      <c r="G1054" s="52">
        <v>-2080</v>
      </c>
      <c r="H1054" s="32" t="s">
        <v>1695</v>
      </c>
    </row>
    <row r="1055" spans="1:8" ht="18.75">
      <c r="A1055" t="s">
        <v>1696</v>
      </c>
      <c r="B1055">
        <v>11</v>
      </c>
      <c r="C1055">
        <v>2024</v>
      </c>
      <c r="D1055" s="54">
        <v>45597</v>
      </c>
      <c r="E1055" s="42" t="s">
        <v>146</v>
      </c>
      <c r="F1055" s="76" t="s">
        <v>72</v>
      </c>
      <c r="G1055" s="52">
        <v>2080</v>
      </c>
      <c r="H1055" s="32" t="s">
        <v>1697</v>
      </c>
    </row>
    <row r="1056" spans="1:8" ht="18.75">
      <c r="A1056" s="77" t="s">
        <v>1698</v>
      </c>
      <c r="B1056">
        <v>11</v>
      </c>
      <c r="C1056">
        <v>2024</v>
      </c>
      <c r="D1056" s="54">
        <v>45597</v>
      </c>
      <c r="E1056" s="42" t="s">
        <v>160</v>
      </c>
      <c r="F1056" s="76" t="s">
        <v>40</v>
      </c>
      <c r="G1056" s="52">
        <v>-100</v>
      </c>
      <c r="H1056" s="32" t="s">
        <v>1699</v>
      </c>
    </row>
    <row r="1057" spans="1:11" ht="18.75">
      <c r="A1057" t="s">
        <v>1700</v>
      </c>
      <c r="B1057">
        <v>11</v>
      </c>
      <c r="C1057">
        <v>2024</v>
      </c>
      <c r="D1057" s="54">
        <v>45597</v>
      </c>
      <c r="E1057" s="42" t="s">
        <v>160</v>
      </c>
      <c r="F1057" s="76" t="s">
        <v>40</v>
      </c>
      <c r="G1057" s="52">
        <v>-100</v>
      </c>
      <c r="H1057" s="32" t="s">
        <v>1701</v>
      </c>
    </row>
    <row r="1058" spans="1:11" ht="18.75">
      <c r="A1058" t="s">
        <v>1702</v>
      </c>
      <c r="B1058">
        <v>11</v>
      </c>
      <c r="C1058">
        <v>2024</v>
      </c>
      <c r="D1058" s="54">
        <v>45598</v>
      </c>
      <c r="E1058" s="42" t="s">
        <v>249</v>
      </c>
      <c r="F1058" s="76" t="s">
        <v>59</v>
      </c>
      <c r="G1058" s="52">
        <v>-19.170000000000002</v>
      </c>
      <c r="H1058" s="32" t="s">
        <v>1703</v>
      </c>
    </row>
    <row r="1059" spans="1:11" ht="18.75">
      <c r="A1059" t="s">
        <v>1704</v>
      </c>
      <c r="B1059">
        <v>11</v>
      </c>
      <c r="C1059">
        <v>2024</v>
      </c>
      <c r="D1059" s="54">
        <v>45598</v>
      </c>
      <c r="E1059" s="42" t="s">
        <v>249</v>
      </c>
      <c r="F1059" s="76" t="s">
        <v>59</v>
      </c>
      <c r="G1059" s="52">
        <v>-3</v>
      </c>
      <c r="H1059" s="32" t="s">
        <v>1703</v>
      </c>
    </row>
    <row r="1060" spans="1:11" ht="18.75">
      <c r="A1060" t="s">
        <v>1705</v>
      </c>
      <c r="B1060">
        <v>11</v>
      </c>
      <c r="C1060">
        <v>2024</v>
      </c>
      <c r="D1060" s="54">
        <v>45598</v>
      </c>
      <c r="E1060" s="42" t="s">
        <v>249</v>
      </c>
      <c r="F1060" s="76" t="s">
        <v>59</v>
      </c>
      <c r="G1060" s="52">
        <v>-11.58</v>
      </c>
      <c r="H1060" s="32" t="s">
        <v>1706</v>
      </c>
    </row>
    <row r="1061" spans="1:11" ht="18.75">
      <c r="A1061" t="s">
        <v>1707</v>
      </c>
      <c r="B1061">
        <v>11</v>
      </c>
      <c r="C1061">
        <v>2024</v>
      </c>
      <c r="D1061" s="54">
        <v>45599</v>
      </c>
      <c r="E1061" s="42" t="s">
        <v>249</v>
      </c>
      <c r="F1061" s="76" t="s">
        <v>58</v>
      </c>
      <c r="G1061" s="52">
        <v>-14.63</v>
      </c>
      <c r="H1061" s="32" t="s">
        <v>1708</v>
      </c>
      <c r="K1061" t="s">
        <v>298</v>
      </c>
    </row>
    <row r="1062" spans="1:11" ht="18.75">
      <c r="A1062" t="s">
        <v>1709</v>
      </c>
      <c r="B1062">
        <v>11</v>
      </c>
      <c r="C1062">
        <v>2024</v>
      </c>
      <c r="D1062" s="54">
        <v>45599</v>
      </c>
      <c r="E1062" s="42" t="s">
        <v>249</v>
      </c>
      <c r="F1062" s="76" t="s">
        <v>58</v>
      </c>
      <c r="G1062" s="52">
        <f>-84.02+64.02</f>
        <v>-20</v>
      </c>
      <c r="H1062" s="32" t="s">
        <v>282</v>
      </c>
    </row>
    <row r="1063" spans="1:11" ht="18.75">
      <c r="B1063">
        <v>11</v>
      </c>
      <c r="C1063">
        <v>2024</v>
      </c>
      <c r="D1063" s="54">
        <v>45599</v>
      </c>
      <c r="E1063" s="42" t="s">
        <v>160</v>
      </c>
      <c r="F1063" s="76" t="s">
        <v>36</v>
      </c>
      <c r="G1063" s="52">
        <v>80</v>
      </c>
      <c r="H1063" s="32" t="s">
        <v>1710</v>
      </c>
    </row>
    <row r="1064" spans="1:11" ht="18.75">
      <c r="A1064" t="s">
        <v>1711</v>
      </c>
      <c r="B1064">
        <v>11</v>
      </c>
      <c r="C1064">
        <v>2024</v>
      </c>
      <c r="D1064" s="54">
        <v>45599</v>
      </c>
      <c r="E1064" s="42" t="s">
        <v>249</v>
      </c>
      <c r="F1064" s="76" t="s">
        <v>79</v>
      </c>
      <c r="G1064" s="52">
        <v>25</v>
      </c>
      <c r="H1064" s="32" t="s">
        <v>402</v>
      </c>
    </row>
    <row r="1065" spans="1:11" ht="18.75">
      <c r="B1065">
        <v>11</v>
      </c>
      <c r="C1065">
        <v>2024</v>
      </c>
      <c r="D1065" s="54">
        <v>45599</v>
      </c>
      <c r="E1065" s="42" t="s">
        <v>160</v>
      </c>
      <c r="F1065" s="76" t="s">
        <v>60</v>
      </c>
      <c r="G1065" s="52">
        <v>-80</v>
      </c>
      <c r="H1065" s="32" t="s">
        <v>1712</v>
      </c>
    </row>
    <row r="1066" spans="1:11" ht="18.75">
      <c r="A1066" t="s">
        <v>1713</v>
      </c>
      <c r="B1066">
        <v>11</v>
      </c>
      <c r="C1066">
        <v>2024</v>
      </c>
      <c r="D1066" s="54">
        <v>45599</v>
      </c>
      <c r="E1066" s="42" t="s">
        <v>249</v>
      </c>
      <c r="F1066" s="76" t="s">
        <v>57</v>
      </c>
      <c r="G1066" s="52">
        <v>-224.85</v>
      </c>
      <c r="H1066" s="32" t="s">
        <v>282</v>
      </c>
    </row>
    <row r="1067" spans="1:11" ht="18.75">
      <c r="B1067">
        <v>11</v>
      </c>
      <c r="C1067">
        <v>2024</v>
      </c>
      <c r="D1067" s="54">
        <v>45599</v>
      </c>
      <c r="E1067" s="42" t="s">
        <v>249</v>
      </c>
      <c r="F1067" s="76" t="s">
        <v>44</v>
      </c>
      <c r="G1067" s="52">
        <v>-64.02</v>
      </c>
      <c r="H1067" s="32" t="s">
        <v>1714</v>
      </c>
    </row>
    <row r="1068" spans="1:11" ht="18.75">
      <c r="A1068" t="s">
        <v>1715</v>
      </c>
      <c r="B1068">
        <v>11</v>
      </c>
      <c r="C1068">
        <v>2024</v>
      </c>
      <c r="D1068" s="54">
        <v>45600</v>
      </c>
      <c r="E1068" s="42" t="s">
        <v>160</v>
      </c>
      <c r="F1068" s="76" t="s">
        <v>79</v>
      </c>
      <c r="G1068" s="52">
        <v>1071.6099999999999</v>
      </c>
      <c r="H1068" s="32" t="s">
        <v>1716</v>
      </c>
    </row>
    <row r="1069" spans="1:11" ht="18.75">
      <c r="A1069" t="s">
        <v>1717</v>
      </c>
      <c r="B1069">
        <v>11</v>
      </c>
      <c r="C1069">
        <v>2024</v>
      </c>
      <c r="D1069" s="54">
        <v>45600</v>
      </c>
      <c r="E1069" s="42" t="s">
        <v>146</v>
      </c>
      <c r="F1069" s="76" t="s">
        <v>79</v>
      </c>
      <c r="G1069" s="52">
        <v>-1071.6099999999999</v>
      </c>
      <c r="H1069" s="32" t="s">
        <v>1718</v>
      </c>
    </row>
    <row r="1070" spans="1:11" ht="18.75">
      <c r="A1070" t="s">
        <v>1719</v>
      </c>
      <c r="B1070">
        <v>11</v>
      </c>
      <c r="C1070">
        <v>2024</v>
      </c>
      <c r="D1070" s="54">
        <v>45601</v>
      </c>
      <c r="E1070" s="42" t="s">
        <v>160</v>
      </c>
      <c r="F1070" s="76" t="s">
        <v>30</v>
      </c>
      <c r="G1070" s="52">
        <v>-214.82</v>
      </c>
      <c r="H1070" s="32" t="s">
        <v>196</v>
      </c>
    </row>
    <row r="1071" spans="1:11" ht="18.75">
      <c r="A1071" t="s">
        <v>1720</v>
      </c>
      <c r="B1071">
        <v>11</v>
      </c>
      <c r="C1071">
        <v>2024</v>
      </c>
      <c r="D1071" s="54">
        <v>45601</v>
      </c>
      <c r="E1071" s="42" t="s">
        <v>249</v>
      </c>
      <c r="F1071" s="76" t="s">
        <v>57</v>
      </c>
      <c r="G1071" s="52">
        <v>-11.94</v>
      </c>
      <c r="H1071" s="32" t="s">
        <v>282</v>
      </c>
    </row>
    <row r="1072" spans="1:11" ht="18.75">
      <c r="A1072" t="s">
        <v>1721</v>
      </c>
      <c r="B1072">
        <v>11</v>
      </c>
      <c r="C1072">
        <v>2024</v>
      </c>
      <c r="D1072" s="54">
        <v>45602</v>
      </c>
      <c r="E1072" s="42" t="s">
        <v>249</v>
      </c>
      <c r="F1072" s="76" t="s">
        <v>46</v>
      </c>
      <c r="G1072" s="52">
        <v>-20</v>
      </c>
      <c r="H1072" s="32" t="s">
        <v>268</v>
      </c>
    </row>
    <row r="1073" spans="1:8" ht="18.75">
      <c r="A1073" t="s">
        <v>1722</v>
      </c>
      <c r="B1073">
        <v>11</v>
      </c>
      <c r="C1073">
        <v>2024</v>
      </c>
      <c r="D1073" s="54">
        <v>45602</v>
      </c>
      <c r="E1073" s="42" t="s">
        <v>160</v>
      </c>
      <c r="F1073" s="76" t="s">
        <v>79</v>
      </c>
      <c r="G1073" s="52">
        <v>2203.27</v>
      </c>
      <c r="H1073" s="32" t="s">
        <v>1655</v>
      </c>
    </row>
    <row r="1074" spans="1:8" ht="18.75">
      <c r="A1074" t="s">
        <v>1723</v>
      </c>
      <c r="B1074">
        <v>11</v>
      </c>
      <c r="C1074">
        <v>2024</v>
      </c>
      <c r="D1074" s="54">
        <v>45603</v>
      </c>
      <c r="E1074" s="42" t="s">
        <v>249</v>
      </c>
      <c r="F1074" s="76" t="s">
        <v>42</v>
      </c>
      <c r="G1074" s="52">
        <v>-25.98</v>
      </c>
      <c r="H1074" s="32" t="s">
        <v>278</v>
      </c>
    </row>
    <row r="1075" spans="1:8" ht="18.75">
      <c r="A1075" t="s">
        <v>1724</v>
      </c>
      <c r="B1075">
        <v>11</v>
      </c>
      <c r="C1075">
        <v>2024</v>
      </c>
      <c r="D1075" s="54">
        <v>45603</v>
      </c>
      <c r="E1075" s="42" t="s">
        <v>160</v>
      </c>
      <c r="F1075" s="76" t="s">
        <v>79</v>
      </c>
      <c r="G1075" s="52">
        <v>1282.33</v>
      </c>
      <c r="H1075" s="32" t="s">
        <v>190</v>
      </c>
    </row>
    <row r="1076" spans="1:8" ht="18.75">
      <c r="A1076" t="s">
        <v>1725</v>
      </c>
      <c r="B1076">
        <v>11</v>
      </c>
      <c r="C1076">
        <v>2024</v>
      </c>
      <c r="D1076" s="54">
        <v>45604</v>
      </c>
      <c r="E1076" s="42" t="s">
        <v>160</v>
      </c>
      <c r="F1076" s="76" t="s">
        <v>51</v>
      </c>
      <c r="G1076" s="52">
        <v>-125.87</v>
      </c>
      <c r="H1076" s="32" t="s">
        <v>199</v>
      </c>
    </row>
    <row r="1077" spans="1:8" ht="18.75">
      <c r="A1077" t="s">
        <v>1726</v>
      </c>
      <c r="B1077">
        <v>11</v>
      </c>
      <c r="C1077">
        <v>2024</v>
      </c>
      <c r="D1077" s="54">
        <v>45604</v>
      </c>
      <c r="E1077" s="42" t="s">
        <v>249</v>
      </c>
      <c r="F1077" s="76" t="s">
        <v>32</v>
      </c>
      <c r="G1077" s="52">
        <v>-37.07</v>
      </c>
      <c r="H1077" s="32" t="s">
        <v>1727</v>
      </c>
    </row>
    <row r="1078" spans="1:8" ht="18.75">
      <c r="A1078" t="s">
        <v>1728</v>
      </c>
      <c r="B1078">
        <v>11</v>
      </c>
      <c r="C1078">
        <v>2024</v>
      </c>
      <c r="D1078" s="54">
        <v>45606</v>
      </c>
      <c r="E1078" s="42" t="s">
        <v>249</v>
      </c>
      <c r="F1078" s="76" t="s">
        <v>32</v>
      </c>
      <c r="G1078" s="52">
        <v>-57.35</v>
      </c>
      <c r="H1078" s="32" t="s">
        <v>1729</v>
      </c>
    </row>
    <row r="1079" spans="1:8" ht="18.75">
      <c r="A1079" t="s">
        <v>1730</v>
      </c>
      <c r="B1079">
        <v>11</v>
      </c>
      <c r="C1079">
        <v>2024</v>
      </c>
      <c r="D1079" s="54">
        <v>45606</v>
      </c>
      <c r="E1079" s="42" t="s">
        <v>249</v>
      </c>
      <c r="F1079" s="76" t="s">
        <v>50</v>
      </c>
      <c r="G1079" s="52">
        <v>-54.45</v>
      </c>
      <c r="H1079" s="32" t="s">
        <v>1230</v>
      </c>
    </row>
    <row r="1080" spans="1:8" ht="18.75">
      <c r="A1080" t="s">
        <v>1731</v>
      </c>
      <c r="B1080">
        <v>11</v>
      </c>
      <c r="C1080">
        <v>2024</v>
      </c>
      <c r="D1080" s="54">
        <v>45607</v>
      </c>
      <c r="E1080" s="42" t="s">
        <v>249</v>
      </c>
      <c r="F1080" s="76" t="s">
        <v>35</v>
      </c>
      <c r="G1080" s="52">
        <v>-88.14</v>
      </c>
      <c r="H1080" s="32" t="s">
        <v>285</v>
      </c>
    </row>
    <row r="1081" spans="1:8" ht="18.75">
      <c r="A1081" t="s">
        <v>1732</v>
      </c>
      <c r="B1081">
        <v>11</v>
      </c>
      <c r="C1081">
        <v>2024</v>
      </c>
      <c r="D1081" s="54">
        <v>45607</v>
      </c>
      <c r="E1081" s="42" t="s">
        <v>249</v>
      </c>
      <c r="F1081" s="76" t="s">
        <v>57</v>
      </c>
      <c r="G1081" s="52">
        <v>-177.35</v>
      </c>
      <c r="H1081" s="32" t="s">
        <v>351</v>
      </c>
    </row>
    <row r="1082" spans="1:8" ht="18.75">
      <c r="A1082" t="s">
        <v>1733</v>
      </c>
      <c r="B1082">
        <v>11</v>
      </c>
      <c r="C1082">
        <v>2024</v>
      </c>
      <c r="D1082" s="54">
        <v>45607</v>
      </c>
      <c r="E1082" s="42" t="s">
        <v>249</v>
      </c>
      <c r="F1082" s="76" t="s">
        <v>54</v>
      </c>
      <c r="G1082" s="52">
        <v>-2.09</v>
      </c>
      <c r="H1082" s="32" t="s">
        <v>1378</v>
      </c>
    </row>
    <row r="1083" spans="1:8" ht="18.75">
      <c r="A1083" t="s">
        <v>1734</v>
      </c>
      <c r="B1083">
        <v>11</v>
      </c>
      <c r="C1083">
        <v>2024</v>
      </c>
      <c r="D1083" s="54">
        <v>45608</v>
      </c>
      <c r="E1083" s="42" t="s">
        <v>249</v>
      </c>
      <c r="F1083" s="76" t="s">
        <v>58</v>
      </c>
      <c r="G1083" s="52">
        <v>-349.17</v>
      </c>
      <c r="H1083" s="32" t="s">
        <v>1735</v>
      </c>
    </row>
    <row r="1084" spans="1:8" ht="18.75">
      <c r="A1084" t="s">
        <v>1736</v>
      </c>
      <c r="B1084">
        <v>11</v>
      </c>
      <c r="C1084">
        <v>2024</v>
      </c>
      <c r="D1084" s="54">
        <v>45608</v>
      </c>
      <c r="E1084" s="42" t="s">
        <v>160</v>
      </c>
      <c r="F1084" s="76" t="s">
        <v>36</v>
      </c>
      <c r="G1084" s="52">
        <v>-67.3</v>
      </c>
      <c r="H1084" s="32" t="s">
        <v>1737</v>
      </c>
    </row>
    <row r="1085" spans="1:8" ht="18.75">
      <c r="A1085" t="s">
        <v>1738</v>
      </c>
      <c r="B1085">
        <v>11</v>
      </c>
      <c r="C1085">
        <v>2024</v>
      </c>
      <c r="D1085" s="54">
        <v>45621</v>
      </c>
      <c r="E1085" s="42" t="s">
        <v>160</v>
      </c>
      <c r="F1085" s="76" t="s">
        <v>49</v>
      </c>
      <c r="G1085" s="52">
        <v>-50</v>
      </c>
      <c r="H1085" s="32" t="s">
        <v>161</v>
      </c>
    </row>
    <row r="1086" spans="1:8" ht="18.75">
      <c r="A1086" t="s">
        <v>1739</v>
      </c>
      <c r="B1086">
        <v>11</v>
      </c>
      <c r="C1086">
        <v>2024</v>
      </c>
      <c r="D1086" s="54">
        <v>45608</v>
      </c>
      <c r="E1086" s="42" t="s">
        <v>160</v>
      </c>
      <c r="F1086" s="76" t="s">
        <v>43</v>
      </c>
      <c r="G1086" s="52">
        <v>-9.0299999999999994</v>
      </c>
      <c r="H1086" s="32" t="s">
        <v>163</v>
      </c>
    </row>
    <row r="1087" spans="1:8" ht="18.75">
      <c r="A1087" t="s">
        <v>1740</v>
      </c>
      <c r="B1087">
        <v>11</v>
      </c>
      <c r="C1087">
        <v>2024</v>
      </c>
      <c r="D1087" s="54">
        <v>45611</v>
      </c>
      <c r="E1087" s="42" t="s">
        <v>160</v>
      </c>
      <c r="F1087" s="76" t="s">
        <v>51</v>
      </c>
      <c r="G1087" s="52">
        <v>-125.57</v>
      </c>
      <c r="H1087" s="32" t="s">
        <v>210</v>
      </c>
    </row>
    <row r="1088" spans="1:8" ht="18.75">
      <c r="A1088" t="s">
        <v>1741</v>
      </c>
      <c r="B1088">
        <v>11</v>
      </c>
      <c r="C1088">
        <v>2024</v>
      </c>
      <c r="D1088" s="54">
        <v>45611</v>
      </c>
      <c r="E1088" s="42" t="s">
        <v>160</v>
      </c>
      <c r="F1088" s="76" t="s">
        <v>33</v>
      </c>
      <c r="G1088" s="52">
        <v>-443.25</v>
      </c>
      <c r="H1088" s="32" t="s">
        <v>169</v>
      </c>
    </row>
    <row r="1089" spans="1:8" ht="18.75">
      <c r="A1089" t="s">
        <v>1742</v>
      </c>
      <c r="B1089">
        <v>11</v>
      </c>
      <c r="C1089">
        <v>2024</v>
      </c>
      <c r="D1089" s="54">
        <v>45611</v>
      </c>
      <c r="E1089" s="42" t="s">
        <v>160</v>
      </c>
      <c r="F1089" s="76" t="s">
        <v>64</v>
      </c>
      <c r="G1089" s="52">
        <v>-294</v>
      </c>
      <c r="H1089" s="32" t="s">
        <v>208</v>
      </c>
    </row>
    <row r="1090" spans="1:8" ht="18.75">
      <c r="A1090" t="s">
        <v>1743</v>
      </c>
      <c r="B1090">
        <v>11</v>
      </c>
      <c r="C1090">
        <v>2024</v>
      </c>
      <c r="D1090" s="54">
        <v>45611</v>
      </c>
      <c r="E1090" s="42" t="s">
        <v>249</v>
      </c>
      <c r="F1090" s="76" t="s">
        <v>41</v>
      </c>
      <c r="G1090" s="52">
        <v>-103.14</v>
      </c>
      <c r="H1090" s="32" t="s">
        <v>1744</v>
      </c>
    </row>
    <row r="1091" spans="1:8" ht="18.75">
      <c r="A1091" t="s">
        <v>1745</v>
      </c>
      <c r="B1091">
        <v>11</v>
      </c>
      <c r="C1091">
        <v>2024</v>
      </c>
      <c r="D1091" s="54">
        <v>45612</v>
      </c>
      <c r="E1091" s="42" t="s">
        <v>249</v>
      </c>
      <c r="F1091" s="76" t="s">
        <v>39</v>
      </c>
      <c r="G1091" s="52">
        <v>-104.62</v>
      </c>
      <c r="H1091" s="32" t="s">
        <v>304</v>
      </c>
    </row>
    <row r="1092" spans="1:8" ht="18.75">
      <c r="A1092" t="s">
        <v>1746</v>
      </c>
      <c r="B1092">
        <v>11</v>
      </c>
      <c r="C1092">
        <v>2024</v>
      </c>
      <c r="D1092" s="54">
        <v>45612</v>
      </c>
      <c r="E1092" s="42" t="s">
        <v>249</v>
      </c>
      <c r="F1092" s="76" t="s">
        <v>59</v>
      </c>
      <c r="G1092" s="52">
        <v>-23.15</v>
      </c>
      <c r="H1092" s="32" t="s">
        <v>1747</v>
      </c>
    </row>
    <row r="1093" spans="1:8" ht="18.75">
      <c r="A1093" t="s">
        <v>1748</v>
      </c>
      <c r="B1093">
        <v>11</v>
      </c>
      <c r="C1093">
        <v>2024</v>
      </c>
      <c r="D1093" s="54">
        <v>45612</v>
      </c>
      <c r="E1093" s="42" t="s">
        <v>249</v>
      </c>
      <c r="F1093" s="76" t="s">
        <v>50</v>
      </c>
      <c r="G1093" s="52">
        <v>-104.4</v>
      </c>
      <c r="H1093" s="32" t="s">
        <v>1393</v>
      </c>
    </row>
    <row r="1094" spans="1:8" ht="18.75">
      <c r="A1094" t="s">
        <v>1749</v>
      </c>
      <c r="B1094">
        <v>11</v>
      </c>
      <c r="C1094">
        <v>2024</v>
      </c>
      <c r="D1094" s="54">
        <v>45613</v>
      </c>
      <c r="E1094" s="42" t="s">
        <v>249</v>
      </c>
      <c r="F1094" s="76" t="s">
        <v>65</v>
      </c>
      <c r="G1094" s="52">
        <v>-54.04</v>
      </c>
      <c r="H1094" s="32" t="s">
        <v>258</v>
      </c>
    </row>
    <row r="1095" spans="1:8" ht="18.75">
      <c r="A1095" t="s">
        <v>1750</v>
      </c>
      <c r="B1095">
        <v>11</v>
      </c>
      <c r="C1095">
        <v>2024</v>
      </c>
      <c r="D1095" s="54">
        <v>45613</v>
      </c>
      <c r="E1095" s="42" t="s">
        <v>249</v>
      </c>
      <c r="F1095" s="76" t="s">
        <v>57</v>
      </c>
      <c r="G1095" s="52">
        <v>-53.56</v>
      </c>
      <c r="H1095" s="32" t="s">
        <v>351</v>
      </c>
    </row>
    <row r="1096" spans="1:8" ht="18.75">
      <c r="A1096" t="s">
        <v>1751</v>
      </c>
      <c r="B1096">
        <v>11</v>
      </c>
      <c r="C1096">
        <v>2024</v>
      </c>
      <c r="D1096" s="54">
        <v>45613</v>
      </c>
      <c r="E1096" s="42" t="s">
        <v>249</v>
      </c>
      <c r="F1096" s="76" t="s">
        <v>59</v>
      </c>
      <c r="G1096" s="52">
        <v>-52.96</v>
      </c>
      <c r="H1096" s="32" t="s">
        <v>1752</v>
      </c>
    </row>
    <row r="1097" spans="1:8" ht="18.75">
      <c r="A1097" t="s">
        <v>1753</v>
      </c>
      <c r="B1097">
        <v>11</v>
      </c>
      <c r="C1097">
        <v>2024</v>
      </c>
      <c r="D1097" s="54">
        <v>45613</v>
      </c>
      <c r="E1097" s="42" t="s">
        <v>249</v>
      </c>
      <c r="F1097" s="76" t="s">
        <v>50</v>
      </c>
      <c r="G1097" s="52">
        <v>-192.7</v>
      </c>
      <c r="H1097" s="32" t="s">
        <v>727</v>
      </c>
    </row>
    <row r="1098" spans="1:8" ht="18.75">
      <c r="A1098" t="s">
        <v>1754</v>
      </c>
      <c r="B1098">
        <v>11</v>
      </c>
      <c r="C1098">
        <v>2024</v>
      </c>
      <c r="D1098" s="54">
        <v>45614</v>
      </c>
      <c r="E1098" s="42" t="s">
        <v>249</v>
      </c>
      <c r="F1098" s="76" t="s">
        <v>79</v>
      </c>
      <c r="G1098" s="52">
        <v>3843.41</v>
      </c>
      <c r="H1098" s="32" t="s">
        <v>1755</v>
      </c>
    </row>
    <row r="1099" spans="1:8" ht="18.75">
      <c r="A1099" t="s">
        <v>1756</v>
      </c>
      <c r="B1099">
        <v>11</v>
      </c>
      <c r="C1099">
        <v>2024</v>
      </c>
      <c r="D1099" s="54">
        <v>45614</v>
      </c>
      <c r="E1099" s="42" t="s">
        <v>160</v>
      </c>
      <c r="F1099" s="76" t="s">
        <v>60</v>
      </c>
      <c r="G1099" s="52">
        <v>-85.16</v>
      </c>
      <c r="H1099" s="32" t="s">
        <v>212</v>
      </c>
    </row>
    <row r="1100" spans="1:8" ht="18.75">
      <c r="A1100" t="s">
        <v>1757</v>
      </c>
      <c r="B1100">
        <v>11</v>
      </c>
      <c r="C1100">
        <v>2024</v>
      </c>
      <c r="D1100" s="54">
        <v>45615</v>
      </c>
      <c r="E1100" s="42" t="s">
        <v>160</v>
      </c>
      <c r="F1100" s="76" t="s">
        <v>79</v>
      </c>
      <c r="G1100" s="52">
        <v>-3843.41</v>
      </c>
      <c r="H1100" s="32" t="s">
        <v>214</v>
      </c>
    </row>
    <row r="1101" spans="1:8" ht="18.75">
      <c r="A1101" t="s">
        <v>1758</v>
      </c>
      <c r="B1101">
        <v>11</v>
      </c>
      <c r="C1101">
        <v>2024</v>
      </c>
      <c r="D1101" s="54">
        <v>45616</v>
      </c>
      <c r="E1101" s="42" t="s">
        <v>160</v>
      </c>
      <c r="F1101" s="76" t="s">
        <v>79</v>
      </c>
      <c r="G1101" s="52">
        <v>2232.81</v>
      </c>
      <c r="H1101" s="32" t="s">
        <v>1655</v>
      </c>
    </row>
    <row r="1102" spans="1:8" ht="18.75">
      <c r="A1102" t="s">
        <v>1759</v>
      </c>
      <c r="B1102">
        <v>11</v>
      </c>
      <c r="C1102">
        <v>2024</v>
      </c>
      <c r="D1102" s="54">
        <v>45616</v>
      </c>
      <c r="E1102" s="42" t="s">
        <v>249</v>
      </c>
      <c r="F1102" s="76" t="s">
        <v>32</v>
      </c>
      <c r="G1102" s="52">
        <v>-59.53</v>
      </c>
      <c r="H1102" s="32" t="s">
        <v>1572</v>
      </c>
    </row>
    <row r="1103" spans="1:8" ht="18.75">
      <c r="A1103" t="s">
        <v>1760</v>
      </c>
      <c r="B1103">
        <v>11</v>
      </c>
      <c r="C1103">
        <v>2024</v>
      </c>
      <c r="D1103" s="54">
        <v>45617</v>
      </c>
      <c r="E1103" s="42" t="s">
        <v>160</v>
      </c>
      <c r="F1103" s="76" t="s">
        <v>79</v>
      </c>
      <c r="G1103" s="52">
        <v>1282.33</v>
      </c>
      <c r="H1103" s="32" t="s">
        <v>190</v>
      </c>
    </row>
    <row r="1104" spans="1:8" ht="18.75">
      <c r="A1104" t="s">
        <v>1761</v>
      </c>
      <c r="B1104">
        <v>11</v>
      </c>
      <c r="C1104">
        <v>2024</v>
      </c>
      <c r="D1104" s="54">
        <v>45617</v>
      </c>
      <c r="E1104" s="42" t="s">
        <v>249</v>
      </c>
      <c r="F1104" s="76" t="s">
        <v>65</v>
      </c>
      <c r="G1104" s="52">
        <v>-43.95</v>
      </c>
      <c r="H1104" s="32" t="s">
        <v>1762</v>
      </c>
    </row>
    <row r="1105" spans="1:9" ht="18.75">
      <c r="A1105" t="s">
        <v>1763</v>
      </c>
      <c r="B1105">
        <v>11</v>
      </c>
      <c r="C1105">
        <v>2024</v>
      </c>
      <c r="D1105" s="54">
        <v>45618</v>
      </c>
      <c r="E1105" s="42" t="s">
        <v>160</v>
      </c>
      <c r="F1105" s="76" t="s">
        <v>63</v>
      </c>
      <c r="G1105" s="52">
        <v>-103.34</v>
      </c>
      <c r="H1105" s="32" t="s">
        <v>224</v>
      </c>
    </row>
    <row r="1106" spans="1:9" ht="18.75">
      <c r="A1106" t="s">
        <v>1764</v>
      </c>
      <c r="B1106">
        <v>11</v>
      </c>
      <c r="C1106">
        <v>2024</v>
      </c>
      <c r="D1106" s="54">
        <v>45618</v>
      </c>
      <c r="E1106" s="42" t="s">
        <v>249</v>
      </c>
      <c r="F1106" s="76" t="s">
        <v>59</v>
      </c>
      <c r="G1106" s="52">
        <v>-54</v>
      </c>
      <c r="H1106" s="32" t="s">
        <v>1765</v>
      </c>
    </row>
    <row r="1107" spans="1:9" ht="18.75">
      <c r="A1107" t="s">
        <v>1766</v>
      </c>
      <c r="B1107">
        <v>11</v>
      </c>
      <c r="C1107">
        <v>2024</v>
      </c>
      <c r="D1107" s="54">
        <v>45619</v>
      </c>
      <c r="E1107" s="42" t="s">
        <v>249</v>
      </c>
      <c r="F1107" s="76" t="s">
        <v>62</v>
      </c>
      <c r="G1107" s="52">
        <v>-18.899999999999999</v>
      </c>
      <c r="H1107" s="32" t="s">
        <v>1765</v>
      </c>
    </row>
    <row r="1108" spans="1:9" ht="18.75">
      <c r="A1108" t="s">
        <v>1767</v>
      </c>
      <c r="B1108">
        <v>11</v>
      </c>
      <c r="C1108">
        <v>2024</v>
      </c>
      <c r="D1108" s="54">
        <v>45619</v>
      </c>
      <c r="E1108" s="42" t="s">
        <v>249</v>
      </c>
      <c r="F1108" s="76" t="s">
        <v>62</v>
      </c>
      <c r="G1108" s="52">
        <v>-41.78</v>
      </c>
      <c r="H1108" s="32" t="s">
        <v>1744</v>
      </c>
    </row>
    <row r="1109" spans="1:9" ht="18.75">
      <c r="A1109" t="s">
        <v>1768</v>
      </c>
      <c r="B1109">
        <v>11</v>
      </c>
      <c r="C1109">
        <v>2024</v>
      </c>
      <c r="D1109" s="54">
        <v>45619</v>
      </c>
      <c r="E1109" s="42" t="s">
        <v>249</v>
      </c>
      <c r="F1109" s="76" t="s">
        <v>62</v>
      </c>
      <c r="G1109" s="52">
        <v>-21.01</v>
      </c>
      <c r="H1109" s="32" t="s">
        <v>1744</v>
      </c>
    </row>
    <row r="1110" spans="1:9" ht="18.75">
      <c r="A1110" t="s">
        <v>1769</v>
      </c>
      <c r="B1110">
        <v>11</v>
      </c>
      <c r="C1110">
        <v>2024</v>
      </c>
      <c r="D1110" s="54">
        <v>45620</v>
      </c>
      <c r="E1110" s="42" t="s">
        <v>249</v>
      </c>
      <c r="F1110" s="76" t="s">
        <v>52</v>
      </c>
      <c r="G1110" s="52">
        <f>-125.85+15</f>
        <v>-110.85</v>
      </c>
      <c r="H1110" s="32" t="s">
        <v>282</v>
      </c>
    </row>
    <row r="1111" spans="1:9" ht="18.75">
      <c r="A1111" t="s">
        <v>1770</v>
      </c>
      <c r="B1111">
        <v>11</v>
      </c>
      <c r="C1111">
        <v>2024</v>
      </c>
      <c r="D1111" s="54">
        <v>45620</v>
      </c>
      <c r="E1111" s="42" t="s">
        <v>249</v>
      </c>
      <c r="F1111" s="76" t="s">
        <v>57</v>
      </c>
      <c r="G1111" s="52">
        <v>-103.61</v>
      </c>
      <c r="H1111" s="32" t="s">
        <v>282</v>
      </c>
    </row>
    <row r="1112" spans="1:9" ht="18.75">
      <c r="A1112" t="s">
        <v>1771</v>
      </c>
      <c r="B1112">
        <v>11</v>
      </c>
      <c r="C1112">
        <v>2024</v>
      </c>
      <c r="D1112" s="54">
        <v>45620</v>
      </c>
      <c r="E1112" s="42" t="s">
        <v>249</v>
      </c>
      <c r="F1112" s="76" t="s">
        <v>47</v>
      </c>
      <c r="G1112" s="52">
        <v>-40.22</v>
      </c>
      <c r="H1112" s="32" t="s">
        <v>525</v>
      </c>
    </row>
    <row r="1113" spans="1:9" ht="18.75">
      <c r="A1113" s="77" t="s">
        <v>1772</v>
      </c>
      <c r="B1113">
        <v>11</v>
      </c>
      <c r="C1113">
        <v>2024</v>
      </c>
      <c r="D1113" s="54">
        <v>45620</v>
      </c>
      <c r="E1113" s="42" t="s">
        <v>249</v>
      </c>
      <c r="F1113" s="76" t="s">
        <v>47</v>
      </c>
      <c r="G1113" s="52">
        <v>-38.36</v>
      </c>
      <c r="H1113" s="32" t="s">
        <v>1708</v>
      </c>
      <c r="I1113" s="32" t="s">
        <v>1773</v>
      </c>
    </row>
    <row r="1114" spans="1:9" ht="18.75">
      <c r="A1114" s="77"/>
      <c r="B1114">
        <v>11</v>
      </c>
      <c r="C1114">
        <v>2024</v>
      </c>
      <c r="D1114" s="54">
        <v>45620</v>
      </c>
      <c r="E1114" s="42" t="s">
        <v>249</v>
      </c>
      <c r="F1114" s="76" t="s">
        <v>47</v>
      </c>
      <c r="G1114" s="52">
        <v>-15</v>
      </c>
      <c r="H1114" s="32" t="s">
        <v>282</v>
      </c>
      <c r="I1114" s="32" t="s">
        <v>1774</v>
      </c>
    </row>
    <row r="1115" spans="1:9" ht="18.75">
      <c r="A1115" t="s">
        <v>1775</v>
      </c>
      <c r="B1115">
        <v>12</v>
      </c>
      <c r="C1115">
        <v>2024</v>
      </c>
      <c r="D1115" s="54">
        <v>45628</v>
      </c>
      <c r="E1115" s="42" t="s">
        <v>160</v>
      </c>
      <c r="F1115" s="76" t="s">
        <v>49</v>
      </c>
      <c r="G1115" s="52">
        <v>-50</v>
      </c>
      <c r="H1115" s="32" t="s">
        <v>173</v>
      </c>
    </row>
    <row r="1116" spans="1:9" ht="18.75">
      <c r="A1116" t="s">
        <v>1776</v>
      </c>
      <c r="B1116">
        <v>11</v>
      </c>
      <c r="C1116">
        <v>2024</v>
      </c>
      <c r="D1116" s="54">
        <v>45621</v>
      </c>
      <c r="E1116" s="42" t="s">
        <v>160</v>
      </c>
      <c r="F1116" s="76" t="s">
        <v>48</v>
      </c>
      <c r="G1116" s="52">
        <v>-4</v>
      </c>
      <c r="H1116" s="32" t="s">
        <v>228</v>
      </c>
    </row>
    <row r="1117" spans="1:9" ht="18.75">
      <c r="A1117" t="s">
        <v>1777</v>
      </c>
      <c r="B1117">
        <v>11</v>
      </c>
      <c r="C1117">
        <v>2024</v>
      </c>
      <c r="D1117" s="54">
        <v>45621</v>
      </c>
      <c r="E1117" s="42" t="s">
        <v>160</v>
      </c>
      <c r="F1117" s="76" t="s">
        <v>48</v>
      </c>
      <c r="G1117" s="52">
        <v>-7.5</v>
      </c>
      <c r="H1117" s="32" t="s">
        <v>557</v>
      </c>
    </row>
    <row r="1118" spans="1:9" ht="18.75">
      <c r="A1118" t="s">
        <v>1778</v>
      </c>
      <c r="B1118">
        <v>11</v>
      </c>
      <c r="C1118">
        <v>2024</v>
      </c>
      <c r="D1118" s="54">
        <v>45621</v>
      </c>
      <c r="E1118" s="42" t="s">
        <v>160</v>
      </c>
      <c r="F1118" s="76" t="s">
        <v>29</v>
      </c>
      <c r="G1118" s="52">
        <v>-225.75</v>
      </c>
      <c r="H1118" s="32" t="s">
        <v>167</v>
      </c>
    </row>
    <row r="1119" spans="1:9" ht="18.75">
      <c r="A1119" t="s">
        <v>1779</v>
      </c>
      <c r="B1119">
        <v>11</v>
      </c>
      <c r="C1119">
        <v>2024</v>
      </c>
      <c r="D1119" s="54">
        <v>45622</v>
      </c>
      <c r="E1119" s="42" t="s">
        <v>249</v>
      </c>
      <c r="F1119" s="76" t="s">
        <v>45</v>
      </c>
      <c r="G1119" s="52">
        <v>-35.020000000000003</v>
      </c>
      <c r="H1119" s="32" t="s">
        <v>1521</v>
      </c>
    </row>
    <row r="1120" spans="1:9" ht="18.75">
      <c r="B1120">
        <v>11</v>
      </c>
      <c r="C1120">
        <v>2024</v>
      </c>
      <c r="D1120" s="54">
        <v>45622</v>
      </c>
      <c r="E1120" s="42" t="s">
        <v>249</v>
      </c>
      <c r="F1120" s="76" t="s">
        <v>58</v>
      </c>
      <c r="G1120" s="52">
        <v>-15</v>
      </c>
      <c r="H1120" s="32" t="s">
        <v>1364</v>
      </c>
      <c r="I1120" s="32" t="s">
        <v>1780</v>
      </c>
    </row>
    <row r="1121" spans="1:8" ht="18.75">
      <c r="A1121" t="s">
        <v>1781</v>
      </c>
      <c r="B1121">
        <v>11</v>
      </c>
      <c r="C1121">
        <v>2024</v>
      </c>
      <c r="D1121" s="54">
        <v>45622</v>
      </c>
      <c r="E1121" s="42" t="s">
        <v>249</v>
      </c>
      <c r="F1121" s="76" t="s">
        <v>66</v>
      </c>
      <c r="G1121" s="52">
        <v>-1.5</v>
      </c>
      <c r="H1121" s="32" t="s">
        <v>616</v>
      </c>
    </row>
    <row r="1122" spans="1:8" ht="18.75">
      <c r="A1122" t="s">
        <v>1782</v>
      </c>
      <c r="B1122">
        <v>11</v>
      </c>
      <c r="C1122">
        <v>2024</v>
      </c>
      <c r="D1122" s="54">
        <v>45622</v>
      </c>
      <c r="E1122" s="42" t="s">
        <v>160</v>
      </c>
      <c r="F1122" s="76" t="s">
        <v>43</v>
      </c>
      <c r="G1122" s="52">
        <v>-9.0299999999999994</v>
      </c>
      <c r="H1122" s="32" t="s">
        <v>163</v>
      </c>
    </row>
    <row r="1123" spans="1:8" ht="18.75">
      <c r="A1123" t="s">
        <v>1783</v>
      </c>
      <c r="B1123">
        <v>11</v>
      </c>
      <c r="C1123">
        <v>2024</v>
      </c>
      <c r="D1123" s="54">
        <v>45622</v>
      </c>
      <c r="E1123" s="42" t="s">
        <v>249</v>
      </c>
      <c r="F1123" s="76" t="s">
        <v>59</v>
      </c>
      <c r="G1123" s="52">
        <v>-16.34</v>
      </c>
      <c r="H1123" s="32" t="s">
        <v>1784</v>
      </c>
    </row>
    <row r="1124" spans="1:8" ht="18.75">
      <c r="A1124" t="s">
        <v>1785</v>
      </c>
      <c r="B1124">
        <v>11</v>
      </c>
      <c r="C1124">
        <v>2024</v>
      </c>
      <c r="D1124" s="54">
        <v>45622</v>
      </c>
      <c r="E1124" s="42" t="s">
        <v>249</v>
      </c>
      <c r="F1124" s="76" t="s">
        <v>41</v>
      </c>
      <c r="G1124" s="52">
        <v>-30.66</v>
      </c>
      <c r="H1124" s="32" t="s">
        <v>1786</v>
      </c>
    </row>
    <row r="1125" spans="1:8" ht="18.75">
      <c r="A1125" t="s">
        <v>1787</v>
      </c>
      <c r="B1125">
        <v>11</v>
      </c>
      <c r="C1125">
        <v>2024</v>
      </c>
      <c r="D1125" s="54">
        <v>45622</v>
      </c>
      <c r="E1125" s="42" t="s">
        <v>249</v>
      </c>
      <c r="F1125" s="76" t="s">
        <v>44</v>
      </c>
      <c r="G1125" s="52">
        <f>-64.41+15</f>
        <v>-49.41</v>
      </c>
      <c r="H1125" s="32" t="s">
        <v>1364</v>
      </c>
    </row>
    <row r="1126" spans="1:8" ht="18.75">
      <c r="A1126" t="s">
        <v>1788</v>
      </c>
      <c r="B1126">
        <v>11</v>
      </c>
      <c r="C1126">
        <v>2024</v>
      </c>
      <c r="D1126" s="54">
        <v>45622</v>
      </c>
      <c r="E1126" s="42" t="s">
        <v>249</v>
      </c>
      <c r="F1126" s="76" t="s">
        <v>55</v>
      </c>
      <c r="G1126" s="52">
        <v>-279.26</v>
      </c>
      <c r="H1126" s="32" t="s">
        <v>356</v>
      </c>
    </row>
    <row r="1127" spans="1:8" ht="18.75">
      <c r="A1127" t="s">
        <v>1789</v>
      </c>
      <c r="B1127">
        <v>11</v>
      </c>
      <c r="C1127">
        <v>2024</v>
      </c>
      <c r="D1127" s="54">
        <v>45623</v>
      </c>
      <c r="E1127" s="42" t="s">
        <v>249</v>
      </c>
      <c r="F1127" s="76" t="s">
        <v>58</v>
      </c>
      <c r="G1127" s="52">
        <v>-11.74</v>
      </c>
      <c r="H1127" s="32" t="s">
        <v>1790</v>
      </c>
    </row>
    <row r="1128" spans="1:8" ht="18.75">
      <c r="A1128" t="s">
        <v>1791</v>
      </c>
      <c r="B1128">
        <v>11</v>
      </c>
      <c r="C1128">
        <v>2024</v>
      </c>
      <c r="D1128" s="54">
        <v>45623</v>
      </c>
      <c r="E1128" s="42" t="s">
        <v>249</v>
      </c>
      <c r="F1128" s="76" t="s">
        <v>59</v>
      </c>
      <c r="G1128" s="52">
        <v>-20.91</v>
      </c>
      <c r="H1128" s="32" t="s">
        <v>359</v>
      </c>
    </row>
    <row r="1129" spans="1:8" ht="18.75">
      <c r="A1129" t="s">
        <v>1792</v>
      </c>
      <c r="B1129">
        <v>11</v>
      </c>
      <c r="C1129">
        <v>2024</v>
      </c>
      <c r="D1129" s="54">
        <v>45624</v>
      </c>
      <c r="E1129" s="42" t="s">
        <v>249</v>
      </c>
      <c r="F1129" s="76" t="s">
        <v>56</v>
      </c>
      <c r="G1129" s="52">
        <v>-222.17</v>
      </c>
      <c r="H1129" s="32" t="s">
        <v>590</v>
      </c>
    </row>
    <row r="1130" spans="1:8" ht="18.75">
      <c r="A1130" t="s">
        <v>1793</v>
      </c>
      <c r="B1130">
        <v>11</v>
      </c>
      <c r="C1130">
        <v>2024</v>
      </c>
      <c r="D1130" s="54">
        <v>45625</v>
      </c>
      <c r="E1130" s="42" t="s">
        <v>249</v>
      </c>
      <c r="F1130" s="76" t="s">
        <v>45</v>
      </c>
      <c r="G1130" s="52">
        <v>-34.47</v>
      </c>
      <c r="H1130" s="32" t="s">
        <v>1277</v>
      </c>
    </row>
    <row r="1131" spans="1:8" ht="18.75">
      <c r="A1131" t="s">
        <v>1794</v>
      </c>
      <c r="B1131">
        <v>11</v>
      </c>
      <c r="C1131">
        <v>2024</v>
      </c>
      <c r="D1131" s="54">
        <v>45625</v>
      </c>
      <c r="E1131" s="42" t="s">
        <v>160</v>
      </c>
      <c r="F1131" s="76" t="s">
        <v>33</v>
      </c>
      <c r="G1131" s="52">
        <v>-443.25</v>
      </c>
      <c r="H1131" s="32" t="s">
        <v>169</v>
      </c>
    </row>
    <row r="1132" spans="1:8" ht="18.75">
      <c r="A1132" t="s">
        <v>1795</v>
      </c>
      <c r="B1132">
        <v>11</v>
      </c>
      <c r="C1132">
        <v>2024</v>
      </c>
      <c r="D1132" s="54">
        <v>45626</v>
      </c>
      <c r="E1132" s="42" t="s">
        <v>249</v>
      </c>
      <c r="F1132" s="76" t="s">
        <v>57</v>
      </c>
      <c r="G1132" s="52">
        <v>-13.94</v>
      </c>
      <c r="H1132" s="32" t="s">
        <v>1172</v>
      </c>
    </row>
    <row r="1133" spans="1:8" ht="18.75">
      <c r="A1133" t="s">
        <v>1796</v>
      </c>
      <c r="B1133">
        <v>12</v>
      </c>
      <c r="C1133">
        <v>2024</v>
      </c>
      <c r="D1133" s="54">
        <v>45627</v>
      </c>
      <c r="E1133" s="42" t="s">
        <v>249</v>
      </c>
      <c r="F1133" s="76" t="s">
        <v>65</v>
      </c>
      <c r="G1133" s="52">
        <v>-29.99</v>
      </c>
      <c r="H1133" s="32" t="s">
        <v>1797</v>
      </c>
    </row>
    <row r="1134" spans="1:8" ht="18.75">
      <c r="A1134" t="s">
        <v>1798</v>
      </c>
      <c r="B1134">
        <v>12</v>
      </c>
      <c r="C1134">
        <v>2024</v>
      </c>
      <c r="D1134" s="54">
        <v>45627</v>
      </c>
      <c r="E1134" s="42" t="s">
        <v>249</v>
      </c>
      <c r="F1134" s="76" t="s">
        <v>57</v>
      </c>
      <c r="G1134" s="52">
        <v>-112.88</v>
      </c>
      <c r="H1134" s="32" t="s">
        <v>351</v>
      </c>
    </row>
    <row r="1135" spans="1:8" ht="18.75">
      <c r="A1135" t="s">
        <v>1799</v>
      </c>
      <c r="B1135">
        <v>12</v>
      </c>
      <c r="C1135">
        <v>2024</v>
      </c>
      <c r="D1135" s="54">
        <v>45627</v>
      </c>
      <c r="E1135" s="42" t="s">
        <v>249</v>
      </c>
      <c r="F1135" s="76" t="s">
        <v>47</v>
      </c>
      <c r="G1135" s="52">
        <v>-47.74</v>
      </c>
      <c r="H1135" s="32" t="s">
        <v>308</v>
      </c>
    </row>
    <row r="1136" spans="1:8" ht="18.75">
      <c r="A1136" t="s">
        <v>1800</v>
      </c>
      <c r="B1136">
        <v>12</v>
      </c>
      <c r="C1136">
        <v>2024</v>
      </c>
      <c r="D1136" s="54">
        <v>45627</v>
      </c>
      <c r="E1136" s="42" t="s">
        <v>249</v>
      </c>
      <c r="F1136" s="76" t="s">
        <v>59</v>
      </c>
      <c r="G1136" s="52">
        <v>-10.95</v>
      </c>
      <c r="H1136" s="32" t="s">
        <v>727</v>
      </c>
    </row>
    <row r="1137" spans="1:11" ht="18.75">
      <c r="A1137" t="s">
        <v>1801</v>
      </c>
      <c r="B1137">
        <v>12</v>
      </c>
      <c r="C1137">
        <v>2024</v>
      </c>
      <c r="D1137" s="54">
        <v>45627</v>
      </c>
      <c r="E1137" s="42" t="s">
        <v>249</v>
      </c>
      <c r="F1137" s="76" t="s">
        <v>62</v>
      </c>
      <c r="G1137" s="52">
        <v>-39.78</v>
      </c>
      <c r="H1137" s="32" t="s">
        <v>1802</v>
      </c>
    </row>
    <row r="1138" spans="1:11" ht="18.75">
      <c r="A1138" t="s">
        <v>1803</v>
      </c>
      <c r="B1138">
        <v>12</v>
      </c>
      <c r="C1138">
        <v>2024</v>
      </c>
      <c r="D1138" s="54">
        <v>45628</v>
      </c>
      <c r="E1138" s="42" t="s">
        <v>249</v>
      </c>
      <c r="F1138" s="76" t="s">
        <v>31</v>
      </c>
      <c r="G1138" s="52">
        <v>-3220</v>
      </c>
      <c r="H1138" s="32" t="s">
        <v>549</v>
      </c>
    </row>
    <row r="1139" spans="1:11" ht="18.75">
      <c r="A1139" t="s">
        <v>1804</v>
      </c>
      <c r="B1139">
        <v>12</v>
      </c>
      <c r="C1139">
        <v>2024</v>
      </c>
      <c r="D1139" s="54">
        <v>45635</v>
      </c>
      <c r="E1139" s="42" t="s">
        <v>160</v>
      </c>
      <c r="F1139" s="76" t="s">
        <v>49</v>
      </c>
      <c r="G1139" s="52">
        <v>-50</v>
      </c>
      <c r="H1139" s="32" t="s">
        <v>161</v>
      </c>
    </row>
    <row r="1140" spans="1:11" ht="18.75">
      <c r="A1140" t="s">
        <v>1805</v>
      </c>
      <c r="B1140">
        <v>12</v>
      </c>
      <c r="C1140">
        <v>2024</v>
      </c>
      <c r="D1140" s="54">
        <v>45628</v>
      </c>
      <c r="E1140" s="42" t="s">
        <v>146</v>
      </c>
      <c r="F1140" s="76" t="s">
        <v>48</v>
      </c>
      <c r="G1140" s="52">
        <v>7.41</v>
      </c>
      <c r="H1140" s="32" t="s">
        <v>175</v>
      </c>
    </row>
    <row r="1141" spans="1:11" ht="18.75">
      <c r="A1141" t="s">
        <v>1806</v>
      </c>
      <c r="B1141">
        <v>12</v>
      </c>
      <c r="C1141">
        <v>2024</v>
      </c>
      <c r="D1141" s="54">
        <v>45628</v>
      </c>
      <c r="E1141" s="42" t="s">
        <v>249</v>
      </c>
      <c r="F1141" s="76" t="s">
        <v>59</v>
      </c>
      <c r="G1141" s="52">
        <v>-11.27</v>
      </c>
      <c r="H1141" s="32" t="s">
        <v>1807</v>
      </c>
    </row>
    <row r="1142" spans="1:11" ht="18.75">
      <c r="A1142" t="s">
        <v>1808</v>
      </c>
      <c r="B1142">
        <v>12</v>
      </c>
      <c r="C1142">
        <v>2024</v>
      </c>
      <c r="D1142" s="54">
        <v>45628</v>
      </c>
      <c r="E1142" s="42" t="s">
        <v>249</v>
      </c>
      <c r="F1142" s="76" t="s">
        <v>59</v>
      </c>
      <c r="G1142" s="52">
        <v>-13</v>
      </c>
      <c r="H1142" s="32" t="s">
        <v>1809</v>
      </c>
    </row>
    <row r="1143" spans="1:11" ht="18.75">
      <c r="A1143" t="s">
        <v>1810</v>
      </c>
      <c r="B1143">
        <v>12</v>
      </c>
      <c r="C1143">
        <v>2024</v>
      </c>
      <c r="D1143" s="54">
        <v>45628</v>
      </c>
      <c r="E1143" s="42" t="s">
        <v>249</v>
      </c>
      <c r="F1143" s="76" t="s">
        <v>55</v>
      </c>
      <c r="G1143" s="52">
        <v>-96.04</v>
      </c>
      <c r="H1143" s="32" t="s">
        <v>1811</v>
      </c>
    </row>
    <row r="1144" spans="1:11" ht="18.75">
      <c r="A1144" t="s">
        <v>1812</v>
      </c>
      <c r="B1144">
        <v>12</v>
      </c>
      <c r="C1144">
        <v>2024</v>
      </c>
      <c r="D1144" s="54">
        <v>45628</v>
      </c>
      <c r="E1144" s="42" t="s">
        <v>160</v>
      </c>
      <c r="F1144" s="76" t="s">
        <v>40</v>
      </c>
      <c r="G1144" s="52">
        <v>-100</v>
      </c>
      <c r="H1144" s="32" t="s">
        <v>1813</v>
      </c>
    </row>
    <row r="1145" spans="1:11" ht="18.75">
      <c r="A1145" t="s">
        <v>1814</v>
      </c>
      <c r="B1145">
        <v>12</v>
      </c>
      <c r="C1145">
        <v>2024</v>
      </c>
      <c r="D1145" s="54">
        <v>45628</v>
      </c>
      <c r="E1145" s="42" t="s">
        <v>160</v>
      </c>
      <c r="F1145" s="76" t="s">
        <v>40</v>
      </c>
      <c r="G1145" s="52">
        <v>-100</v>
      </c>
      <c r="H1145" s="32" t="s">
        <v>1815</v>
      </c>
    </row>
    <row r="1146" spans="1:11" ht="18.75">
      <c r="A1146" t="s">
        <v>1816</v>
      </c>
      <c r="B1146">
        <v>12</v>
      </c>
      <c r="C1146">
        <v>2024</v>
      </c>
      <c r="D1146" s="54">
        <v>45629</v>
      </c>
      <c r="E1146" s="42" t="s">
        <v>249</v>
      </c>
      <c r="F1146" s="76" t="s">
        <v>58</v>
      </c>
      <c r="G1146" s="52">
        <v>-8.1199999999999992</v>
      </c>
      <c r="H1146" s="32" t="s">
        <v>1817</v>
      </c>
    </row>
    <row r="1147" spans="1:11" ht="18.75">
      <c r="A1147" t="s">
        <v>1818</v>
      </c>
      <c r="B1147">
        <v>12</v>
      </c>
      <c r="C1147">
        <v>2024</v>
      </c>
      <c r="D1147" s="54">
        <v>45629</v>
      </c>
      <c r="E1147" s="42" t="s">
        <v>249</v>
      </c>
      <c r="F1147" s="76" t="s">
        <v>52</v>
      </c>
      <c r="G1147" s="52">
        <v>-53.56</v>
      </c>
      <c r="H1147" s="32" t="s">
        <v>1819</v>
      </c>
    </row>
    <row r="1148" spans="1:11" ht="18.75">
      <c r="A1148" s="77" t="s">
        <v>1820</v>
      </c>
      <c r="B1148">
        <v>12</v>
      </c>
      <c r="C1148">
        <v>2024</v>
      </c>
      <c r="D1148" s="54">
        <v>45629</v>
      </c>
      <c r="E1148" s="42" t="s">
        <v>249</v>
      </c>
      <c r="F1148" s="76" t="s">
        <v>65</v>
      </c>
      <c r="G1148" s="52">
        <v>-94.95</v>
      </c>
      <c r="H1148" s="32" t="s">
        <v>1821</v>
      </c>
      <c r="K1148" t="s">
        <v>298</v>
      </c>
    </row>
    <row r="1149" spans="1:11" ht="18.75">
      <c r="A1149" t="s">
        <v>1822</v>
      </c>
      <c r="B1149">
        <v>12</v>
      </c>
      <c r="C1149">
        <v>2024</v>
      </c>
      <c r="D1149" s="54">
        <v>45629</v>
      </c>
      <c r="E1149" s="42" t="s">
        <v>249</v>
      </c>
      <c r="F1149" s="76" t="s">
        <v>59</v>
      </c>
      <c r="G1149" s="52">
        <v>-16.95</v>
      </c>
      <c r="H1149" s="32" t="s">
        <v>308</v>
      </c>
      <c r="K1149" t="s">
        <v>298</v>
      </c>
    </row>
    <row r="1150" spans="1:11" ht="18.75">
      <c r="A1150" t="s">
        <v>1823</v>
      </c>
      <c r="B1150">
        <v>12</v>
      </c>
      <c r="C1150">
        <v>2024</v>
      </c>
      <c r="D1150" s="54">
        <v>45629</v>
      </c>
      <c r="E1150" s="42" t="s">
        <v>249</v>
      </c>
      <c r="F1150" s="76" t="s">
        <v>59</v>
      </c>
      <c r="G1150" s="52">
        <v>-24.96</v>
      </c>
      <c r="H1150" s="32" t="s">
        <v>1172</v>
      </c>
    </row>
    <row r="1151" spans="1:11" ht="18.75">
      <c r="A1151" t="s">
        <v>1824</v>
      </c>
      <c r="B1151">
        <v>12</v>
      </c>
      <c r="C1151">
        <v>2024</v>
      </c>
      <c r="D1151" s="54">
        <v>45630</v>
      </c>
      <c r="E1151" s="42" t="s">
        <v>160</v>
      </c>
      <c r="F1151" s="76" t="s">
        <v>79</v>
      </c>
      <c r="G1151" s="52">
        <v>2204.81</v>
      </c>
      <c r="H1151" s="32" t="s">
        <v>1655</v>
      </c>
    </row>
    <row r="1152" spans="1:11" ht="18.75">
      <c r="A1152" t="s">
        <v>1825</v>
      </c>
      <c r="B1152">
        <v>12</v>
      </c>
      <c r="C1152">
        <v>2024</v>
      </c>
      <c r="D1152" s="54">
        <v>45630</v>
      </c>
      <c r="E1152" s="42" t="s">
        <v>249</v>
      </c>
      <c r="F1152" s="76" t="s">
        <v>41</v>
      </c>
      <c r="G1152" s="52">
        <v>-34.53</v>
      </c>
      <c r="H1152" s="32" t="s">
        <v>1826</v>
      </c>
    </row>
    <row r="1153" spans="1:8" ht="18.75">
      <c r="A1153" t="s">
        <v>1827</v>
      </c>
      <c r="B1153">
        <v>12</v>
      </c>
      <c r="C1153">
        <v>2024</v>
      </c>
      <c r="D1153" s="54">
        <v>45631</v>
      </c>
      <c r="E1153" s="42" t="s">
        <v>160</v>
      </c>
      <c r="F1153" s="76" t="s">
        <v>79</v>
      </c>
      <c r="G1153" s="52">
        <v>1282.33</v>
      </c>
      <c r="H1153" s="32" t="s">
        <v>190</v>
      </c>
    </row>
    <row r="1154" spans="1:8" ht="18.75">
      <c r="A1154" t="s">
        <v>1828</v>
      </c>
      <c r="B1154">
        <v>12</v>
      </c>
      <c r="C1154">
        <v>2024</v>
      </c>
      <c r="D1154" s="54">
        <v>45631</v>
      </c>
      <c r="E1154" s="42" t="s">
        <v>160</v>
      </c>
      <c r="F1154" s="76" t="s">
        <v>30</v>
      </c>
      <c r="G1154" s="52">
        <v>-214.82</v>
      </c>
      <c r="H1154" s="32" t="s">
        <v>196</v>
      </c>
    </row>
    <row r="1155" spans="1:8" ht="18.75">
      <c r="A1155" t="s">
        <v>1829</v>
      </c>
      <c r="B1155">
        <v>12</v>
      </c>
      <c r="C1155">
        <v>2024</v>
      </c>
      <c r="D1155" s="54">
        <v>45631</v>
      </c>
      <c r="E1155" s="42" t="s">
        <v>249</v>
      </c>
      <c r="F1155" s="76" t="s">
        <v>47</v>
      </c>
      <c r="G1155" s="52">
        <v>-11.07</v>
      </c>
      <c r="H1155" s="32" t="s">
        <v>1372</v>
      </c>
    </row>
    <row r="1156" spans="1:8" ht="18.75">
      <c r="A1156" t="s">
        <v>1830</v>
      </c>
      <c r="B1156">
        <v>12</v>
      </c>
      <c r="C1156">
        <v>2024</v>
      </c>
      <c r="D1156" s="54">
        <v>45632</v>
      </c>
      <c r="E1156" s="42" t="s">
        <v>249</v>
      </c>
      <c r="F1156" s="76" t="s">
        <v>50</v>
      </c>
      <c r="G1156" s="52">
        <v>-23.35</v>
      </c>
      <c r="H1156" s="32" t="s">
        <v>727</v>
      </c>
    </row>
    <row r="1157" spans="1:8" ht="18.75">
      <c r="B1157">
        <v>12</v>
      </c>
      <c r="C1157">
        <v>2024</v>
      </c>
      <c r="D1157" s="54">
        <v>45633</v>
      </c>
      <c r="E1157" s="42" t="s">
        <v>146</v>
      </c>
      <c r="F1157" s="76" t="s">
        <v>31</v>
      </c>
      <c r="G1157" s="52">
        <v>3556.07</v>
      </c>
      <c r="H1157" s="32" t="s">
        <v>1831</v>
      </c>
    </row>
    <row r="1158" spans="1:8" ht="18.75">
      <c r="A1158" t="s">
        <v>1832</v>
      </c>
      <c r="B1158">
        <v>12</v>
      </c>
      <c r="C1158">
        <v>2024</v>
      </c>
      <c r="D1158" s="54">
        <v>45633</v>
      </c>
      <c r="E1158" s="42" t="s">
        <v>249</v>
      </c>
      <c r="F1158" s="76" t="s">
        <v>42</v>
      </c>
      <c r="G1158" s="52">
        <v>-25.98</v>
      </c>
      <c r="H1158" s="32" t="s">
        <v>1833</v>
      </c>
    </row>
    <row r="1159" spans="1:8" ht="18.75">
      <c r="A1159" t="s">
        <v>1834</v>
      </c>
      <c r="B1159">
        <v>12</v>
      </c>
      <c r="C1159">
        <v>2024</v>
      </c>
      <c r="D1159" s="54">
        <v>45633</v>
      </c>
      <c r="E1159" s="42" t="s">
        <v>249</v>
      </c>
      <c r="F1159" s="76" t="s">
        <v>54</v>
      </c>
      <c r="G1159" s="52">
        <v>-34.44</v>
      </c>
      <c r="H1159" s="32" t="s">
        <v>1263</v>
      </c>
    </row>
    <row r="1160" spans="1:8" ht="18.75">
      <c r="A1160" t="s">
        <v>1835</v>
      </c>
      <c r="B1160">
        <v>12</v>
      </c>
      <c r="C1160">
        <v>2024</v>
      </c>
      <c r="D1160" s="54">
        <v>45633</v>
      </c>
      <c r="E1160" s="42" t="s">
        <v>249</v>
      </c>
      <c r="F1160" s="76" t="s">
        <v>59</v>
      </c>
      <c r="G1160" s="52">
        <v>-36.93</v>
      </c>
      <c r="H1160" s="32" t="s">
        <v>671</v>
      </c>
    </row>
    <row r="1161" spans="1:8" ht="18.75">
      <c r="A1161" t="s">
        <v>1836</v>
      </c>
      <c r="B1161">
        <v>12</v>
      </c>
      <c r="C1161">
        <v>2024</v>
      </c>
      <c r="D1161" s="54">
        <v>45634</v>
      </c>
      <c r="E1161" s="42" t="s">
        <v>249</v>
      </c>
      <c r="F1161" s="76" t="s">
        <v>52</v>
      </c>
      <c r="G1161" s="52">
        <v>-86.75</v>
      </c>
      <c r="H1161" s="32" t="s">
        <v>282</v>
      </c>
    </row>
    <row r="1162" spans="1:8" ht="18.75">
      <c r="A1162" t="s">
        <v>1837</v>
      </c>
      <c r="B1162">
        <v>12</v>
      </c>
      <c r="C1162">
        <v>2024</v>
      </c>
      <c r="D1162" s="54">
        <v>45634</v>
      </c>
      <c r="E1162" s="42" t="s">
        <v>249</v>
      </c>
      <c r="F1162" s="76" t="s">
        <v>57</v>
      </c>
      <c r="G1162" s="52">
        <v>-98.58</v>
      </c>
      <c r="H1162" s="32" t="s">
        <v>282</v>
      </c>
    </row>
    <row r="1163" spans="1:8" ht="18.75">
      <c r="A1163" t="s">
        <v>1838</v>
      </c>
      <c r="B1163">
        <v>12</v>
      </c>
      <c r="C1163">
        <v>2024</v>
      </c>
      <c r="D1163" s="54">
        <v>45634</v>
      </c>
      <c r="E1163" s="42" t="s">
        <v>249</v>
      </c>
      <c r="F1163" s="76" t="s">
        <v>59</v>
      </c>
      <c r="G1163" s="52">
        <v>-52</v>
      </c>
      <c r="H1163" s="32" t="s">
        <v>1839</v>
      </c>
    </row>
    <row r="1164" spans="1:8" ht="18.75">
      <c r="A1164" t="s">
        <v>1840</v>
      </c>
      <c r="B1164">
        <v>12</v>
      </c>
      <c r="C1164">
        <v>2024</v>
      </c>
      <c r="D1164" s="54">
        <v>45634</v>
      </c>
      <c r="E1164" s="42" t="s">
        <v>249</v>
      </c>
      <c r="F1164" s="76" t="s">
        <v>59</v>
      </c>
      <c r="G1164" s="52">
        <v>-5.99</v>
      </c>
      <c r="H1164" s="32" t="s">
        <v>1839</v>
      </c>
    </row>
    <row r="1165" spans="1:8" ht="18.75">
      <c r="A1165" t="s">
        <v>1841</v>
      </c>
      <c r="B1165">
        <v>12</v>
      </c>
      <c r="C1165">
        <v>2024</v>
      </c>
      <c r="D1165" s="54">
        <v>45635</v>
      </c>
      <c r="E1165" s="42" t="s">
        <v>160</v>
      </c>
      <c r="F1165" s="76" t="s">
        <v>36</v>
      </c>
      <c r="G1165" s="52">
        <v>-70.47</v>
      </c>
      <c r="H1165" s="32" t="s">
        <v>1842</v>
      </c>
    </row>
    <row r="1166" spans="1:8" ht="18.75">
      <c r="A1166" t="s">
        <v>1843</v>
      </c>
      <c r="B1166">
        <v>12</v>
      </c>
      <c r="C1166">
        <v>2024</v>
      </c>
      <c r="D1166" s="54">
        <v>45649</v>
      </c>
      <c r="E1166" s="42" t="s">
        <v>160</v>
      </c>
      <c r="F1166" s="76" t="s">
        <v>49</v>
      </c>
      <c r="G1166" s="52">
        <v>-50</v>
      </c>
      <c r="H1166" s="32" t="s">
        <v>161</v>
      </c>
    </row>
    <row r="1167" spans="1:8" ht="18.75">
      <c r="A1167" t="s">
        <v>1844</v>
      </c>
      <c r="B1167">
        <v>12</v>
      </c>
      <c r="C1167">
        <v>2024</v>
      </c>
      <c r="D1167" s="54">
        <v>45635</v>
      </c>
      <c r="E1167" s="42" t="s">
        <v>160</v>
      </c>
      <c r="F1167" s="76" t="s">
        <v>51</v>
      </c>
      <c r="G1167" s="52">
        <v>-125.87</v>
      </c>
      <c r="H1167" s="32" t="s">
        <v>199</v>
      </c>
    </row>
    <row r="1168" spans="1:8" ht="18.75">
      <c r="A1168" t="s">
        <v>1845</v>
      </c>
      <c r="B1168">
        <v>12</v>
      </c>
      <c r="C1168">
        <v>2024</v>
      </c>
      <c r="D1168" s="54">
        <v>45635</v>
      </c>
      <c r="E1168" s="42" t="s">
        <v>160</v>
      </c>
      <c r="F1168" s="76" t="s">
        <v>79</v>
      </c>
      <c r="G1168" s="52">
        <v>1933.11</v>
      </c>
      <c r="H1168" s="32" t="s">
        <v>1846</v>
      </c>
    </row>
    <row r="1169" spans="1:8" ht="18.75">
      <c r="A1169" t="s">
        <v>1847</v>
      </c>
      <c r="B1169">
        <v>12</v>
      </c>
      <c r="C1169">
        <v>2024</v>
      </c>
      <c r="D1169" s="54">
        <v>45635</v>
      </c>
      <c r="E1169" s="42" t="s">
        <v>146</v>
      </c>
      <c r="F1169" s="76" t="s">
        <v>79</v>
      </c>
      <c r="G1169" s="52">
        <v>-1933.11</v>
      </c>
      <c r="H1169" s="32" t="s">
        <v>1848</v>
      </c>
    </row>
    <row r="1170" spans="1:8" ht="18.75">
      <c r="A1170" t="s">
        <v>1849</v>
      </c>
      <c r="B1170">
        <v>12</v>
      </c>
      <c r="C1170">
        <v>2024</v>
      </c>
      <c r="D1170" s="54">
        <v>45635</v>
      </c>
      <c r="E1170" s="42" t="s">
        <v>146</v>
      </c>
      <c r="F1170" s="76" t="s">
        <v>47</v>
      </c>
      <c r="G1170" s="52">
        <v>-50</v>
      </c>
      <c r="H1170" s="32" t="s">
        <v>1850</v>
      </c>
    </row>
    <row r="1171" spans="1:8" ht="18.75">
      <c r="A1171" t="s">
        <v>1851</v>
      </c>
      <c r="B1171">
        <v>12</v>
      </c>
      <c r="C1171">
        <v>2024</v>
      </c>
      <c r="D1171" s="54">
        <v>45635</v>
      </c>
      <c r="E1171" s="42" t="s">
        <v>249</v>
      </c>
      <c r="F1171" s="76" t="s">
        <v>59</v>
      </c>
      <c r="G1171" s="52">
        <v>-18.04</v>
      </c>
      <c r="H1171" s="32" t="s">
        <v>1784</v>
      </c>
    </row>
    <row r="1172" spans="1:8" ht="18.75">
      <c r="A1172" t="s">
        <v>1852</v>
      </c>
      <c r="B1172">
        <v>12</v>
      </c>
      <c r="C1172">
        <v>2024</v>
      </c>
      <c r="D1172" s="54">
        <v>45635</v>
      </c>
      <c r="E1172" s="42" t="s">
        <v>249</v>
      </c>
      <c r="F1172" s="76" t="s">
        <v>32</v>
      </c>
      <c r="G1172" s="52">
        <v>-58.64</v>
      </c>
      <c r="H1172" s="32" t="s">
        <v>646</v>
      </c>
    </row>
    <row r="1173" spans="1:8" ht="18.75">
      <c r="A1173" t="s">
        <v>1853</v>
      </c>
      <c r="B1173">
        <v>12</v>
      </c>
      <c r="C1173">
        <v>2024</v>
      </c>
      <c r="D1173" s="54">
        <v>45636</v>
      </c>
      <c r="E1173" s="42" t="s">
        <v>249</v>
      </c>
      <c r="F1173" s="76" t="s">
        <v>46</v>
      </c>
      <c r="G1173" s="52">
        <v>-20</v>
      </c>
      <c r="H1173" s="32" t="s">
        <v>268</v>
      </c>
    </row>
    <row r="1174" spans="1:8" ht="18.75">
      <c r="A1174" t="s">
        <v>1854</v>
      </c>
      <c r="B1174">
        <v>12</v>
      </c>
      <c r="C1174">
        <v>2024</v>
      </c>
      <c r="D1174" s="54">
        <v>45636</v>
      </c>
      <c r="E1174" s="42" t="s">
        <v>249</v>
      </c>
      <c r="F1174" s="76" t="s">
        <v>35</v>
      </c>
      <c r="G1174" s="52">
        <v>-88.14</v>
      </c>
      <c r="H1174" s="32" t="s">
        <v>285</v>
      </c>
    </row>
    <row r="1175" spans="1:8" ht="18.75">
      <c r="A1175" t="s">
        <v>1855</v>
      </c>
      <c r="B1175">
        <v>12</v>
      </c>
      <c r="C1175">
        <v>2024</v>
      </c>
      <c r="D1175" s="54">
        <v>45636</v>
      </c>
      <c r="E1175" s="42" t="s">
        <v>160</v>
      </c>
      <c r="F1175" s="76" t="s">
        <v>43</v>
      </c>
      <c r="G1175" s="52">
        <v>-9.0299999999999994</v>
      </c>
      <c r="H1175" s="32" t="s">
        <v>163</v>
      </c>
    </row>
    <row r="1176" spans="1:8" ht="18.75">
      <c r="A1176" t="s">
        <v>1856</v>
      </c>
      <c r="B1176">
        <v>12</v>
      </c>
      <c r="C1176">
        <v>2024</v>
      </c>
      <c r="D1176" s="54">
        <v>45636</v>
      </c>
      <c r="E1176" s="42" t="s">
        <v>249</v>
      </c>
      <c r="F1176" s="76" t="s">
        <v>59</v>
      </c>
      <c r="G1176" s="52">
        <v>-8.58</v>
      </c>
      <c r="H1176" s="32" t="s">
        <v>1857</v>
      </c>
    </row>
    <row r="1177" spans="1:8" ht="18.75">
      <c r="A1177" t="s">
        <v>1858</v>
      </c>
      <c r="B1177">
        <v>12</v>
      </c>
      <c r="C1177">
        <v>2024</v>
      </c>
      <c r="D1177" s="54">
        <v>45636</v>
      </c>
      <c r="E1177" s="42" t="s">
        <v>249</v>
      </c>
      <c r="F1177" s="76" t="s">
        <v>59</v>
      </c>
      <c r="G1177" s="52">
        <v>-5</v>
      </c>
      <c r="H1177" s="32" t="s">
        <v>1857</v>
      </c>
    </row>
    <row r="1178" spans="1:8" ht="18.75">
      <c r="A1178" t="s">
        <v>1859</v>
      </c>
      <c r="B1178">
        <v>12</v>
      </c>
      <c r="C1178">
        <v>2024</v>
      </c>
      <c r="D1178" s="54">
        <v>45637</v>
      </c>
      <c r="E1178" s="42" t="s">
        <v>249</v>
      </c>
      <c r="F1178" s="76" t="s">
        <v>399</v>
      </c>
      <c r="G1178" s="52">
        <v>-35.1</v>
      </c>
      <c r="H1178" s="32" t="s">
        <v>400</v>
      </c>
    </row>
    <row r="1179" spans="1:8" ht="18.75">
      <c r="A1179" t="s">
        <v>1860</v>
      </c>
      <c r="B1179">
        <v>12</v>
      </c>
      <c r="C1179">
        <v>2024</v>
      </c>
      <c r="D1179" s="54">
        <v>45637</v>
      </c>
      <c r="E1179" s="42" t="s">
        <v>249</v>
      </c>
      <c r="F1179" s="76" t="s">
        <v>57</v>
      </c>
      <c r="G1179" s="52">
        <v>-189.93</v>
      </c>
      <c r="H1179" s="32" t="s">
        <v>351</v>
      </c>
    </row>
    <row r="1180" spans="1:8" ht="18.75">
      <c r="A1180" t="s">
        <v>1861</v>
      </c>
      <c r="B1180">
        <v>12</v>
      </c>
      <c r="C1180">
        <v>2024</v>
      </c>
      <c r="D1180" s="54">
        <v>45637</v>
      </c>
      <c r="E1180" s="42" t="s">
        <v>249</v>
      </c>
      <c r="F1180" s="76" t="s">
        <v>59</v>
      </c>
      <c r="G1180" s="52">
        <v>-7.63</v>
      </c>
      <c r="H1180" s="32" t="s">
        <v>359</v>
      </c>
    </row>
    <row r="1181" spans="1:8" ht="18.75">
      <c r="A1181" t="s">
        <v>1862</v>
      </c>
      <c r="B1181">
        <v>12</v>
      </c>
      <c r="C1181">
        <v>2024</v>
      </c>
      <c r="D1181" s="54">
        <v>45637</v>
      </c>
      <c r="E1181" s="42" t="s">
        <v>249</v>
      </c>
      <c r="F1181" s="76" t="s">
        <v>59</v>
      </c>
      <c r="G1181" s="52">
        <v>-22.58</v>
      </c>
      <c r="H1181" s="32" t="s">
        <v>525</v>
      </c>
    </row>
    <row r="1182" spans="1:8" ht="18.75">
      <c r="A1182" t="s">
        <v>1863</v>
      </c>
      <c r="B1182">
        <v>12</v>
      </c>
      <c r="C1182">
        <v>2024</v>
      </c>
      <c r="D1182" s="54">
        <v>45637</v>
      </c>
      <c r="E1182" s="42" t="s">
        <v>249</v>
      </c>
      <c r="F1182" s="76" t="s">
        <v>44</v>
      </c>
      <c r="G1182" s="52">
        <v>-41.25</v>
      </c>
      <c r="H1182" s="32" t="s">
        <v>1135</v>
      </c>
    </row>
    <row r="1183" spans="1:8" ht="18.75">
      <c r="A1183" t="s">
        <v>1864</v>
      </c>
      <c r="B1183">
        <v>12</v>
      </c>
      <c r="C1183">
        <v>2024</v>
      </c>
      <c r="D1183" s="54">
        <v>45638</v>
      </c>
      <c r="E1183" s="42" t="s">
        <v>249</v>
      </c>
      <c r="F1183" s="76" t="s">
        <v>47</v>
      </c>
      <c r="G1183" s="52">
        <v>-9.0399999999999991</v>
      </c>
      <c r="H1183" s="32" t="s">
        <v>308</v>
      </c>
    </row>
    <row r="1184" spans="1:8" ht="18.75">
      <c r="A1184" t="s">
        <v>1865</v>
      </c>
      <c r="B1184">
        <v>12</v>
      </c>
      <c r="C1184">
        <v>2024</v>
      </c>
      <c r="D1184" s="54">
        <v>45638</v>
      </c>
      <c r="E1184" s="42" t="s">
        <v>249</v>
      </c>
      <c r="F1184" s="76" t="s">
        <v>47</v>
      </c>
      <c r="G1184" s="52">
        <v>-44.32</v>
      </c>
      <c r="H1184" s="32" t="s">
        <v>724</v>
      </c>
    </row>
    <row r="1185" spans="1:9" ht="18.75">
      <c r="A1185" t="s">
        <v>1866</v>
      </c>
      <c r="B1185">
        <v>12</v>
      </c>
      <c r="C1185">
        <v>2024</v>
      </c>
      <c r="D1185" s="54">
        <v>45638</v>
      </c>
      <c r="E1185" s="42" t="s">
        <v>249</v>
      </c>
      <c r="F1185" s="76" t="s">
        <v>50</v>
      </c>
      <c r="G1185" s="52">
        <v>-70.95</v>
      </c>
      <c r="H1185" s="32" t="s">
        <v>727</v>
      </c>
    </row>
    <row r="1186" spans="1:9" ht="18.75">
      <c r="A1186" t="s">
        <v>1867</v>
      </c>
      <c r="B1186">
        <v>12</v>
      </c>
      <c r="C1186">
        <v>2024</v>
      </c>
      <c r="D1186" s="54">
        <v>45639</v>
      </c>
      <c r="E1186" s="42" t="s">
        <v>160</v>
      </c>
      <c r="F1186" s="76" t="s">
        <v>33</v>
      </c>
      <c r="G1186" s="52">
        <v>-443.25</v>
      </c>
      <c r="H1186" s="32" t="s">
        <v>169</v>
      </c>
    </row>
    <row r="1187" spans="1:9" ht="18.75">
      <c r="A1187" t="s">
        <v>1868</v>
      </c>
      <c r="B1187">
        <v>12</v>
      </c>
      <c r="C1187">
        <v>2024</v>
      </c>
      <c r="D1187" s="54">
        <v>45639</v>
      </c>
      <c r="E1187" s="42" t="s">
        <v>249</v>
      </c>
      <c r="F1187" s="76" t="s">
        <v>57</v>
      </c>
      <c r="G1187" s="52">
        <v>-11.2</v>
      </c>
      <c r="H1187" s="32" t="s">
        <v>1219</v>
      </c>
    </row>
    <row r="1188" spans="1:9" ht="18.75">
      <c r="A1188" t="s">
        <v>1869</v>
      </c>
      <c r="B1188">
        <v>12</v>
      </c>
      <c r="C1188">
        <v>2024</v>
      </c>
      <c r="D1188" s="54">
        <v>45640</v>
      </c>
      <c r="E1188" s="42" t="s">
        <v>249</v>
      </c>
      <c r="F1188" s="76" t="s">
        <v>39</v>
      </c>
      <c r="G1188" s="52">
        <v>-104.62</v>
      </c>
      <c r="H1188" s="32" t="s">
        <v>304</v>
      </c>
    </row>
    <row r="1189" spans="1:9" ht="18.75">
      <c r="A1189" t="s">
        <v>1870</v>
      </c>
      <c r="B1189">
        <v>12</v>
      </c>
      <c r="C1189">
        <v>2024</v>
      </c>
      <c r="D1189" s="54">
        <v>45642</v>
      </c>
      <c r="E1189" s="42" t="s">
        <v>160</v>
      </c>
      <c r="F1189" s="76" t="s">
        <v>64</v>
      </c>
      <c r="G1189" s="52">
        <v>-295.54000000000002</v>
      </c>
      <c r="H1189" s="32" t="s">
        <v>208</v>
      </c>
    </row>
    <row r="1190" spans="1:9" ht="18.75">
      <c r="A1190" t="s">
        <v>1871</v>
      </c>
      <c r="B1190">
        <v>12</v>
      </c>
      <c r="C1190">
        <v>2024</v>
      </c>
      <c r="D1190" s="54">
        <v>45642</v>
      </c>
      <c r="E1190" s="42" t="s">
        <v>249</v>
      </c>
      <c r="F1190" s="76" t="s">
        <v>57</v>
      </c>
      <c r="G1190" s="52">
        <v>-137.16</v>
      </c>
      <c r="H1190" s="32" t="s">
        <v>351</v>
      </c>
    </row>
    <row r="1191" spans="1:9" ht="18.75">
      <c r="A1191" t="s">
        <v>1872</v>
      </c>
      <c r="B1191">
        <v>12</v>
      </c>
      <c r="C1191">
        <v>2024</v>
      </c>
      <c r="D1191" s="54">
        <v>45643</v>
      </c>
      <c r="E1191" s="42" t="s">
        <v>160</v>
      </c>
      <c r="F1191" s="76" t="s">
        <v>51</v>
      </c>
      <c r="G1191" s="52">
        <v>-125.57</v>
      </c>
      <c r="H1191" s="32" t="s">
        <v>210</v>
      </c>
    </row>
    <row r="1192" spans="1:9" ht="18.75">
      <c r="A1192" t="s">
        <v>1873</v>
      </c>
      <c r="B1192">
        <v>12</v>
      </c>
      <c r="C1192">
        <v>2024</v>
      </c>
      <c r="D1192" s="54">
        <v>45643</v>
      </c>
      <c r="E1192" s="42" t="s">
        <v>249</v>
      </c>
      <c r="F1192" s="76" t="s">
        <v>52</v>
      </c>
      <c r="G1192" s="52">
        <v>-11.67</v>
      </c>
      <c r="H1192" s="32" t="s">
        <v>282</v>
      </c>
    </row>
    <row r="1193" spans="1:9" ht="18.75">
      <c r="A1193" t="s">
        <v>1874</v>
      </c>
      <c r="B1193">
        <v>12</v>
      </c>
      <c r="C1193">
        <v>2024</v>
      </c>
      <c r="D1193" s="54">
        <v>45643</v>
      </c>
      <c r="E1193" s="42" t="s">
        <v>249</v>
      </c>
      <c r="F1193" s="76" t="s">
        <v>79</v>
      </c>
      <c r="G1193" s="52">
        <v>2490.4899999999998</v>
      </c>
      <c r="H1193" s="32" t="s">
        <v>1755</v>
      </c>
    </row>
    <row r="1194" spans="1:9" ht="18.75">
      <c r="B1194">
        <v>12</v>
      </c>
      <c r="C1194">
        <v>2024</v>
      </c>
      <c r="D1194" s="54">
        <v>45643</v>
      </c>
      <c r="E1194" s="42" t="s">
        <v>249</v>
      </c>
      <c r="F1194" s="76" t="s">
        <v>57</v>
      </c>
      <c r="G1194" s="52">
        <v>-20</v>
      </c>
      <c r="H1194" s="32" t="s">
        <v>1372</v>
      </c>
      <c r="I1194" s="32" t="s">
        <v>1875</v>
      </c>
    </row>
    <row r="1195" spans="1:9" ht="18.75">
      <c r="A1195" t="s">
        <v>1876</v>
      </c>
      <c r="B1195">
        <v>12</v>
      </c>
      <c r="C1195">
        <v>2024</v>
      </c>
      <c r="D1195" s="54">
        <v>45643</v>
      </c>
      <c r="E1195" s="42" t="s">
        <v>249</v>
      </c>
      <c r="F1195" s="76" t="s">
        <v>47</v>
      </c>
      <c r="G1195" s="52">
        <v>-32.479999999999997</v>
      </c>
      <c r="H1195" s="32" t="s">
        <v>1877</v>
      </c>
    </row>
    <row r="1196" spans="1:9" ht="18.75">
      <c r="A1196" t="s">
        <v>1878</v>
      </c>
      <c r="B1196">
        <v>12</v>
      </c>
      <c r="C1196">
        <v>2024</v>
      </c>
      <c r="D1196" s="54">
        <v>45643</v>
      </c>
      <c r="E1196" s="42" t="s">
        <v>249</v>
      </c>
      <c r="F1196" s="76" t="s">
        <v>47</v>
      </c>
      <c r="G1196" s="52">
        <f>-72.75+20</f>
        <v>-52.75</v>
      </c>
      <c r="H1196" s="32" t="s">
        <v>1372</v>
      </c>
    </row>
    <row r="1197" spans="1:9" ht="18.75">
      <c r="A1197" t="s">
        <v>1879</v>
      </c>
      <c r="B1197">
        <v>12</v>
      </c>
      <c r="C1197">
        <v>2024</v>
      </c>
      <c r="D1197" s="54">
        <v>45643</v>
      </c>
      <c r="E1197" s="42" t="s">
        <v>249</v>
      </c>
      <c r="F1197" s="76" t="s">
        <v>47</v>
      </c>
      <c r="G1197" s="52">
        <v>-171.22</v>
      </c>
      <c r="H1197" s="32" t="s">
        <v>282</v>
      </c>
    </row>
    <row r="1198" spans="1:9" ht="18.75">
      <c r="A1198" t="s">
        <v>1880</v>
      </c>
      <c r="B1198">
        <v>12</v>
      </c>
      <c r="C1198">
        <v>2024</v>
      </c>
      <c r="D1198" s="54">
        <v>45643</v>
      </c>
      <c r="E1198" s="42" t="s">
        <v>249</v>
      </c>
      <c r="F1198" s="76" t="s">
        <v>54</v>
      </c>
      <c r="G1198" s="52">
        <v>-6.98</v>
      </c>
      <c r="H1198" s="32" t="s">
        <v>353</v>
      </c>
    </row>
    <row r="1199" spans="1:9" ht="18.75">
      <c r="A1199" t="s">
        <v>1881</v>
      </c>
      <c r="B1199">
        <v>12</v>
      </c>
      <c r="C1199">
        <v>2024</v>
      </c>
      <c r="D1199" s="54">
        <v>45643</v>
      </c>
      <c r="E1199" s="42" t="s">
        <v>160</v>
      </c>
      <c r="F1199" s="76" t="s">
        <v>61</v>
      </c>
      <c r="G1199" s="52">
        <v>-150</v>
      </c>
      <c r="H1199" s="32" t="s">
        <v>1882</v>
      </c>
    </row>
    <row r="1200" spans="1:9" ht="18.75">
      <c r="A1200" t="s">
        <v>1883</v>
      </c>
      <c r="B1200">
        <v>12</v>
      </c>
      <c r="C1200">
        <v>2024</v>
      </c>
      <c r="D1200" s="54">
        <v>45644</v>
      </c>
      <c r="E1200" s="42" t="s">
        <v>160</v>
      </c>
      <c r="F1200" s="76" t="s">
        <v>79</v>
      </c>
      <c r="G1200" s="52">
        <v>2353.5500000000002</v>
      </c>
      <c r="H1200" s="32" t="s">
        <v>1655</v>
      </c>
    </row>
    <row r="1201" spans="1:9" ht="18.75">
      <c r="A1201" t="s">
        <v>1884</v>
      </c>
      <c r="B1201">
        <v>12</v>
      </c>
      <c r="C1201">
        <v>2024</v>
      </c>
      <c r="D1201" s="54">
        <v>45644</v>
      </c>
      <c r="E1201" s="42" t="s">
        <v>160</v>
      </c>
      <c r="F1201" s="76" t="s">
        <v>79</v>
      </c>
      <c r="G1201" s="52">
        <v>-2490.4899999999998</v>
      </c>
      <c r="H1201" s="32" t="s">
        <v>214</v>
      </c>
    </row>
    <row r="1202" spans="1:9" ht="18.75">
      <c r="A1202" t="s">
        <v>1885</v>
      </c>
      <c r="B1202">
        <v>12</v>
      </c>
      <c r="C1202">
        <v>2024</v>
      </c>
      <c r="D1202" s="54">
        <v>45644</v>
      </c>
      <c r="E1202" s="42" t="s">
        <v>160</v>
      </c>
      <c r="F1202" s="76" t="s">
        <v>60</v>
      </c>
      <c r="G1202" s="52">
        <v>-87</v>
      </c>
      <c r="H1202" s="32" t="s">
        <v>212</v>
      </c>
    </row>
    <row r="1203" spans="1:9" ht="18.75">
      <c r="A1203" t="s">
        <v>1886</v>
      </c>
      <c r="B1203">
        <v>12</v>
      </c>
      <c r="C1203">
        <v>2024</v>
      </c>
      <c r="D1203" s="54">
        <v>45645</v>
      </c>
      <c r="E1203" s="42" t="s">
        <v>160</v>
      </c>
      <c r="F1203" s="76" t="s">
        <v>79</v>
      </c>
      <c r="G1203" s="52">
        <v>1282.33</v>
      </c>
      <c r="H1203" s="32" t="s">
        <v>190</v>
      </c>
    </row>
    <row r="1204" spans="1:9" ht="18.75">
      <c r="A1204" t="s">
        <v>1887</v>
      </c>
      <c r="B1204">
        <v>12</v>
      </c>
      <c r="C1204">
        <v>2024</v>
      </c>
      <c r="D1204" s="54">
        <v>45647</v>
      </c>
      <c r="E1204" s="42" t="s">
        <v>249</v>
      </c>
      <c r="F1204" s="76" t="s">
        <v>45</v>
      </c>
      <c r="G1204" s="52">
        <v>-32</v>
      </c>
      <c r="H1204" s="32" t="s">
        <v>1121</v>
      </c>
    </row>
    <row r="1205" spans="1:9" ht="18.75">
      <c r="B1205">
        <v>12</v>
      </c>
      <c r="C1205">
        <v>2024</v>
      </c>
      <c r="D1205" s="54">
        <v>45647</v>
      </c>
      <c r="E1205" s="42" t="s">
        <v>249</v>
      </c>
      <c r="F1205" s="76" t="s">
        <v>57</v>
      </c>
      <c r="G1205" s="52">
        <v>-10</v>
      </c>
      <c r="H1205" s="32" t="s">
        <v>1172</v>
      </c>
      <c r="I1205" s="32" t="s">
        <v>1875</v>
      </c>
    </row>
    <row r="1206" spans="1:9" ht="18.75">
      <c r="A1206" t="s">
        <v>1888</v>
      </c>
      <c r="B1206">
        <v>12</v>
      </c>
      <c r="C1206">
        <v>2024</v>
      </c>
      <c r="D1206" s="54">
        <v>45647</v>
      </c>
      <c r="E1206" s="42" t="s">
        <v>249</v>
      </c>
      <c r="F1206" s="76" t="s">
        <v>47</v>
      </c>
      <c r="G1206" s="52">
        <f>-59.28+10</f>
        <v>-49.28</v>
      </c>
      <c r="H1206" s="32" t="s">
        <v>1172</v>
      </c>
    </row>
    <row r="1207" spans="1:9" ht="18.75">
      <c r="A1207" t="s">
        <v>1889</v>
      </c>
      <c r="B1207">
        <v>12</v>
      </c>
      <c r="C1207">
        <v>2024</v>
      </c>
      <c r="D1207" s="54">
        <v>45647</v>
      </c>
      <c r="E1207" s="42" t="s">
        <v>249</v>
      </c>
      <c r="F1207" s="76" t="s">
        <v>59</v>
      </c>
      <c r="G1207" s="52">
        <v>-9.0399999999999991</v>
      </c>
      <c r="H1207" s="32" t="s">
        <v>308</v>
      </c>
    </row>
    <row r="1208" spans="1:9" ht="18.75">
      <c r="A1208" t="s">
        <v>1890</v>
      </c>
      <c r="B1208">
        <v>12</v>
      </c>
      <c r="C1208">
        <v>2024</v>
      </c>
      <c r="D1208" s="54">
        <v>45648</v>
      </c>
      <c r="E1208" s="42" t="s">
        <v>249</v>
      </c>
      <c r="F1208" s="76" t="s">
        <v>47</v>
      </c>
      <c r="G1208" s="52">
        <v>-43.51</v>
      </c>
      <c r="H1208" s="32" t="s">
        <v>308</v>
      </c>
    </row>
    <row r="1209" spans="1:9" ht="18.75">
      <c r="A1209" t="s">
        <v>1891</v>
      </c>
      <c r="B1209">
        <v>12</v>
      </c>
      <c r="C1209">
        <v>2024</v>
      </c>
      <c r="D1209" s="54">
        <v>45648</v>
      </c>
      <c r="E1209" s="42" t="s">
        <v>249</v>
      </c>
      <c r="F1209" s="76" t="s">
        <v>47</v>
      </c>
      <c r="G1209" s="52">
        <v>-40.22</v>
      </c>
      <c r="H1209" s="32" t="s">
        <v>1172</v>
      </c>
    </row>
    <row r="1210" spans="1:9" ht="18.75">
      <c r="A1210" t="s">
        <v>1892</v>
      </c>
      <c r="B1210">
        <v>1</v>
      </c>
      <c r="C1210">
        <v>2025</v>
      </c>
      <c r="D1210" s="54">
        <v>45659</v>
      </c>
      <c r="E1210" s="42" t="s">
        <v>160</v>
      </c>
      <c r="F1210" s="76" t="s">
        <v>49</v>
      </c>
      <c r="G1210" s="52">
        <v>-50</v>
      </c>
      <c r="H1210" s="32" t="s">
        <v>173</v>
      </c>
    </row>
    <row r="1211" spans="1:9" ht="18.75">
      <c r="A1211" t="s">
        <v>1893</v>
      </c>
      <c r="B1211">
        <v>12</v>
      </c>
      <c r="C1211">
        <v>2024</v>
      </c>
      <c r="D1211" s="54">
        <v>45649</v>
      </c>
      <c r="E1211" s="42" t="s">
        <v>160</v>
      </c>
      <c r="F1211" s="76" t="s">
        <v>63</v>
      </c>
      <c r="G1211" s="52">
        <v>-99.08</v>
      </c>
      <c r="H1211" s="32" t="s">
        <v>224</v>
      </c>
    </row>
    <row r="1212" spans="1:9" ht="18.75">
      <c r="A1212" t="s">
        <v>1894</v>
      </c>
      <c r="B1212">
        <v>12</v>
      </c>
      <c r="C1212">
        <v>2024</v>
      </c>
      <c r="D1212" s="54">
        <v>45649</v>
      </c>
      <c r="E1212" s="42" t="s">
        <v>249</v>
      </c>
      <c r="F1212" s="76" t="s">
        <v>57</v>
      </c>
      <c r="G1212" s="52">
        <v>-26.98</v>
      </c>
      <c r="H1212" s="32" t="s">
        <v>351</v>
      </c>
    </row>
    <row r="1213" spans="1:9" ht="18.75">
      <c r="A1213" t="s">
        <v>1895</v>
      </c>
      <c r="B1213">
        <v>12</v>
      </c>
      <c r="C1213">
        <v>2024</v>
      </c>
      <c r="D1213" s="54">
        <v>45649</v>
      </c>
      <c r="E1213" s="42" t="s">
        <v>146</v>
      </c>
      <c r="F1213" s="76" t="s">
        <v>47</v>
      </c>
      <c r="G1213" s="52">
        <v>-150</v>
      </c>
      <c r="H1213" s="32" t="s">
        <v>1896</v>
      </c>
    </row>
    <row r="1214" spans="1:9" ht="18.75">
      <c r="A1214" t="s">
        <v>1897</v>
      </c>
      <c r="B1214">
        <v>12</v>
      </c>
      <c r="C1214">
        <v>2024</v>
      </c>
      <c r="D1214" s="54">
        <v>45649</v>
      </c>
      <c r="E1214" s="42" t="s">
        <v>249</v>
      </c>
      <c r="F1214" s="76" t="s">
        <v>32</v>
      </c>
      <c r="G1214" s="52">
        <v>-150</v>
      </c>
      <c r="H1214" s="32" t="s">
        <v>1898</v>
      </c>
    </row>
    <row r="1215" spans="1:9" ht="18.75">
      <c r="A1215" t="s">
        <v>1899</v>
      </c>
      <c r="B1215">
        <v>12</v>
      </c>
      <c r="C1215">
        <v>2024</v>
      </c>
      <c r="D1215" s="54">
        <v>45649</v>
      </c>
      <c r="E1215" s="42" t="s">
        <v>249</v>
      </c>
      <c r="F1215" s="76" t="s">
        <v>32</v>
      </c>
      <c r="G1215" s="52">
        <v>-53.5</v>
      </c>
      <c r="H1215" s="32" t="s">
        <v>646</v>
      </c>
    </row>
    <row r="1216" spans="1:9" ht="18.75">
      <c r="A1216" t="s">
        <v>1900</v>
      </c>
      <c r="B1216">
        <v>12</v>
      </c>
      <c r="C1216">
        <v>2024</v>
      </c>
      <c r="D1216" s="54">
        <v>45650</v>
      </c>
      <c r="E1216" s="42" t="s">
        <v>160</v>
      </c>
      <c r="F1216" s="76" t="s">
        <v>48</v>
      </c>
      <c r="G1216" s="52">
        <v>-4</v>
      </c>
      <c r="H1216" s="32" t="s">
        <v>228</v>
      </c>
    </row>
    <row r="1217" spans="1:8" ht="18.75">
      <c r="A1217" t="s">
        <v>1901</v>
      </c>
      <c r="B1217">
        <v>12</v>
      </c>
      <c r="C1217">
        <v>2024</v>
      </c>
      <c r="D1217" s="54">
        <v>45650</v>
      </c>
      <c r="E1217" s="42" t="s">
        <v>160</v>
      </c>
      <c r="F1217" s="76" t="s">
        <v>48</v>
      </c>
      <c r="G1217" s="52">
        <v>-7.5</v>
      </c>
      <c r="H1217" s="32" t="s">
        <v>557</v>
      </c>
    </row>
    <row r="1218" spans="1:8" ht="18.75">
      <c r="A1218" t="s">
        <v>1902</v>
      </c>
      <c r="B1218">
        <v>12</v>
      </c>
      <c r="C1218">
        <v>2024</v>
      </c>
      <c r="D1218" s="54">
        <v>45650</v>
      </c>
      <c r="E1218" s="42" t="s">
        <v>160</v>
      </c>
      <c r="F1218" s="76" t="s">
        <v>43</v>
      </c>
      <c r="G1218" s="52">
        <v>-9.0299999999999994</v>
      </c>
      <c r="H1218" s="32" t="s">
        <v>163</v>
      </c>
    </row>
    <row r="1219" spans="1:8" ht="18.75">
      <c r="A1219" t="s">
        <v>1903</v>
      </c>
      <c r="B1219">
        <v>12</v>
      </c>
      <c r="C1219">
        <v>2024</v>
      </c>
      <c r="D1219" s="54">
        <v>45650</v>
      </c>
      <c r="E1219" s="42" t="s">
        <v>249</v>
      </c>
      <c r="F1219" s="76" t="s">
        <v>47</v>
      </c>
      <c r="G1219" s="52">
        <v>-47.85</v>
      </c>
      <c r="H1219" s="32" t="s">
        <v>727</v>
      </c>
    </row>
    <row r="1220" spans="1:8" ht="18.75">
      <c r="A1220" t="s">
        <v>1904</v>
      </c>
      <c r="B1220">
        <v>12</v>
      </c>
      <c r="C1220">
        <v>2024</v>
      </c>
      <c r="D1220" s="54">
        <v>45650</v>
      </c>
      <c r="E1220" s="42" t="s">
        <v>160</v>
      </c>
      <c r="F1220" s="76" t="s">
        <v>29</v>
      </c>
      <c r="G1220" s="52">
        <v>-225.75</v>
      </c>
      <c r="H1220" s="32" t="s">
        <v>167</v>
      </c>
    </row>
    <row r="1221" spans="1:8" ht="18.75">
      <c r="A1221" t="s">
        <v>1905</v>
      </c>
      <c r="B1221">
        <v>12</v>
      </c>
      <c r="C1221">
        <v>2024</v>
      </c>
      <c r="D1221" s="54">
        <v>45651</v>
      </c>
      <c r="E1221" s="42" t="s">
        <v>249</v>
      </c>
      <c r="F1221" s="76" t="s">
        <v>47</v>
      </c>
      <c r="G1221" s="52">
        <v>-150</v>
      </c>
      <c r="H1221" s="32" t="s">
        <v>1906</v>
      </c>
    </row>
    <row r="1222" spans="1:8" ht="18.75">
      <c r="A1222" t="s">
        <v>1907</v>
      </c>
      <c r="B1222">
        <v>12</v>
      </c>
      <c r="C1222">
        <v>2024</v>
      </c>
      <c r="D1222" s="54">
        <v>45652</v>
      </c>
      <c r="E1222" s="42" t="s">
        <v>249</v>
      </c>
      <c r="F1222" s="76" t="s">
        <v>57</v>
      </c>
      <c r="G1222" s="52">
        <v>-39.57</v>
      </c>
      <c r="H1222" s="32" t="s">
        <v>282</v>
      </c>
    </row>
    <row r="1223" spans="1:8" ht="18.75">
      <c r="A1223" t="s">
        <v>1908</v>
      </c>
      <c r="B1223">
        <v>12</v>
      </c>
      <c r="C1223">
        <v>2024</v>
      </c>
      <c r="D1223" s="54">
        <v>45652</v>
      </c>
      <c r="E1223" s="42" t="s">
        <v>249</v>
      </c>
      <c r="F1223" s="76" t="s">
        <v>47</v>
      </c>
      <c r="G1223" s="52">
        <v>-20.98</v>
      </c>
      <c r="H1223" s="32" t="s">
        <v>1909</v>
      </c>
    </row>
    <row r="1224" spans="1:8" ht="18.75">
      <c r="A1224" t="s">
        <v>1910</v>
      </c>
      <c r="B1224">
        <v>12</v>
      </c>
      <c r="C1224">
        <v>2024</v>
      </c>
      <c r="D1224" s="54">
        <v>45652</v>
      </c>
      <c r="E1224" s="42" t="s">
        <v>249</v>
      </c>
      <c r="F1224" s="76" t="s">
        <v>37</v>
      </c>
      <c r="G1224" s="52">
        <v>-148.03</v>
      </c>
      <c r="H1224" s="32" t="s">
        <v>1911</v>
      </c>
    </row>
    <row r="1225" spans="1:8" ht="18.75">
      <c r="A1225" t="s">
        <v>1912</v>
      </c>
      <c r="B1225">
        <v>12</v>
      </c>
      <c r="C1225">
        <v>2024</v>
      </c>
      <c r="D1225" s="54">
        <v>45653</v>
      </c>
      <c r="E1225" s="42" t="s">
        <v>160</v>
      </c>
      <c r="F1225" s="76" t="s">
        <v>33</v>
      </c>
      <c r="G1225" s="52">
        <v>-443.25</v>
      </c>
      <c r="H1225" s="32" t="s">
        <v>169</v>
      </c>
    </row>
    <row r="1226" spans="1:8" ht="18.75">
      <c r="A1226" t="s">
        <v>1913</v>
      </c>
      <c r="B1226">
        <v>12</v>
      </c>
      <c r="C1226">
        <v>2024</v>
      </c>
      <c r="D1226" s="54">
        <v>45653</v>
      </c>
      <c r="E1226" s="42" t="s">
        <v>146</v>
      </c>
      <c r="F1226" s="76" t="s">
        <v>47</v>
      </c>
      <c r="G1226" s="52">
        <v>-135</v>
      </c>
      <c r="H1226" s="32" t="s">
        <v>1914</v>
      </c>
    </row>
    <row r="1227" spans="1:8" ht="18.75">
      <c r="A1227" t="s">
        <v>1915</v>
      </c>
      <c r="B1227">
        <v>12</v>
      </c>
      <c r="C1227">
        <v>2024</v>
      </c>
      <c r="D1227" s="54">
        <v>45654</v>
      </c>
      <c r="E1227" s="42" t="s">
        <v>249</v>
      </c>
      <c r="F1227" s="76" t="s">
        <v>62</v>
      </c>
      <c r="G1227" s="52">
        <v>-28.19</v>
      </c>
      <c r="H1227" s="32" t="s">
        <v>724</v>
      </c>
    </row>
    <row r="1228" spans="1:8" ht="18.75">
      <c r="A1228" t="s">
        <v>1916</v>
      </c>
      <c r="B1228">
        <v>12</v>
      </c>
      <c r="C1228">
        <v>2024</v>
      </c>
      <c r="D1228" s="54">
        <v>45655</v>
      </c>
      <c r="E1228" s="42" t="s">
        <v>249</v>
      </c>
      <c r="F1228" s="76" t="s">
        <v>57</v>
      </c>
      <c r="G1228" s="52">
        <v>-71.12</v>
      </c>
      <c r="H1228" s="32" t="s">
        <v>351</v>
      </c>
    </row>
    <row r="1229" spans="1:8" ht="18.75">
      <c r="A1229" t="s">
        <v>1917</v>
      </c>
      <c r="B1229">
        <v>12</v>
      </c>
      <c r="C1229">
        <v>2024</v>
      </c>
      <c r="D1229" s="54">
        <v>45656</v>
      </c>
      <c r="E1229" s="42" t="s">
        <v>160</v>
      </c>
      <c r="F1229" s="76" t="s">
        <v>79</v>
      </c>
      <c r="G1229" s="52">
        <v>-200</v>
      </c>
      <c r="H1229" s="32" t="s">
        <v>1918</v>
      </c>
    </row>
    <row r="1230" spans="1:8" ht="18.75">
      <c r="A1230" t="s">
        <v>1919</v>
      </c>
      <c r="B1230">
        <v>12</v>
      </c>
      <c r="C1230">
        <v>2024</v>
      </c>
      <c r="D1230" s="54">
        <v>45656</v>
      </c>
      <c r="E1230" s="42" t="s">
        <v>249</v>
      </c>
      <c r="F1230" s="76" t="s">
        <v>37</v>
      </c>
      <c r="G1230" s="52">
        <v>-442.39</v>
      </c>
      <c r="H1230" s="32" t="s">
        <v>1920</v>
      </c>
    </row>
    <row r="1231" spans="1:8" ht="18.75">
      <c r="A1231" t="s">
        <v>1921</v>
      </c>
      <c r="B1231">
        <v>12</v>
      </c>
      <c r="C1231">
        <v>2024</v>
      </c>
      <c r="D1231" s="54">
        <v>45657</v>
      </c>
      <c r="E1231" s="42" t="s">
        <v>249</v>
      </c>
      <c r="F1231" s="76" t="s">
        <v>58</v>
      </c>
      <c r="G1231" s="52">
        <v>-37.28</v>
      </c>
      <c r="H1231" s="32" t="s">
        <v>1922</v>
      </c>
    </row>
    <row r="1232" spans="1:8" ht="18.75">
      <c r="A1232" t="s">
        <v>1923</v>
      </c>
      <c r="B1232">
        <v>12</v>
      </c>
      <c r="C1232">
        <v>2024</v>
      </c>
      <c r="D1232" s="54">
        <v>45657</v>
      </c>
      <c r="E1232" s="42" t="s">
        <v>160</v>
      </c>
      <c r="F1232" s="76" t="s">
        <v>79</v>
      </c>
      <c r="G1232" s="52">
        <v>2232.81</v>
      </c>
      <c r="H1232" s="32" t="s">
        <v>1655</v>
      </c>
    </row>
    <row r="1233" spans="1:11" ht="18.75">
      <c r="A1233" t="s">
        <v>1924</v>
      </c>
      <c r="B1233">
        <v>1</v>
      </c>
      <c r="C1233">
        <v>2025</v>
      </c>
      <c r="D1233" s="54">
        <v>45663</v>
      </c>
      <c r="E1233" s="42" t="s">
        <v>160</v>
      </c>
      <c r="F1233" s="76" t="s">
        <v>49</v>
      </c>
      <c r="G1233" s="52">
        <v>-50</v>
      </c>
      <c r="H1233" s="32" t="s">
        <v>161</v>
      </c>
    </row>
    <row r="1234" spans="1:11" ht="18.75">
      <c r="A1234" t="s">
        <v>1925</v>
      </c>
      <c r="B1234">
        <v>1</v>
      </c>
      <c r="C1234">
        <v>2025</v>
      </c>
      <c r="D1234" s="54">
        <v>45659</v>
      </c>
      <c r="E1234" s="42" t="s">
        <v>146</v>
      </c>
      <c r="F1234" s="76" t="s">
        <v>48</v>
      </c>
      <c r="G1234" s="52">
        <v>5.6</v>
      </c>
      <c r="H1234" s="32" t="s">
        <v>175</v>
      </c>
    </row>
    <row r="1235" spans="1:11" ht="18.75">
      <c r="A1235" t="s">
        <v>1926</v>
      </c>
      <c r="B1235">
        <v>1</v>
      </c>
      <c r="C1235">
        <v>2025</v>
      </c>
      <c r="D1235" s="54">
        <v>45659</v>
      </c>
      <c r="E1235" s="42" t="s">
        <v>160</v>
      </c>
      <c r="F1235" s="76" t="s">
        <v>79</v>
      </c>
      <c r="G1235" s="52">
        <v>200</v>
      </c>
      <c r="H1235" s="32" t="s">
        <v>1927</v>
      </c>
    </row>
    <row r="1236" spans="1:11" ht="18.75">
      <c r="A1236" t="s">
        <v>1928</v>
      </c>
      <c r="B1236">
        <v>1</v>
      </c>
      <c r="C1236">
        <v>2025</v>
      </c>
      <c r="D1236" s="54">
        <v>45659</v>
      </c>
      <c r="E1236" s="42" t="s">
        <v>160</v>
      </c>
      <c r="F1236" s="76" t="s">
        <v>79</v>
      </c>
      <c r="G1236" s="52">
        <v>1281.69</v>
      </c>
      <c r="H1236" s="32" t="s">
        <v>190</v>
      </c>
    </row>
    <row r="1237" spans="1:11" ht="18.75">
      <c r="A1237" t="s">
        <v>1929</v>
      </c>
      <c r="B1237">
        <v>1</v>
      </c>
      <c r="C1237">
        <v>2025</v>
      </c>
      <c r="D1237" s="54">
        <v>45659</v>
      </c>
      <c r="E1237" s="42" t="s">
        <v>160</v>
      </c>
      <c r="F1237" s="76" t="s">
        <v>79</v>
      </c>
      <c r="G1237" s="52">
        <v>-2492.83</v>
      </c>
      <c r="H1237" s="32" t="s">
        <v>1930</v>
      </c>
    </row>
    <row r="1238" spans="1:11" ht="18.75">
      <c r="A1238" t="s">
        <v>1931</v>
      </c>
      <c r="B1238">
        <v>1</v>
      </c>
      <c r="C1238">
        <v>2025</v>
      </c>
      <c r="D1238" s="54">
        <v>45659</v>
      </c>
      <c r="E1238" s="42" t="s">
        <v>146</v>
      </c>
      <c r="F1238" s="76" t="s">
        <v>79</v>
      </c>
      <c r="G1238" s="52">
        <v>2492.83</v>
      </c>
      <c r="H1238" s="32" t="s">
        <v>1932</v>
      </c>
    </row>
    <row r="1239" spans="1:11" ht="18.75">
      <c r="A1239" t="s">
        <v>1933</v>
      </c>
      <c r="B1239">
        <v>1</v>
      </c>
      <c r="C1239">
        <v>2025</v>
      </c>
      <c r="D1239" s="54">
        <v>45659</v>
      </c>
      <c r="E1239" s="42" t="s">
        <v>160</v>
      </c>
      <c r="F1239" s="76" t="s">
        <v>40</v>
      </c>
      <c r="G1239" s="52">
        <v>-100</v>
      </c>
      <c r="H1239" s="32" t="s">
        <v>1934</v>
      </c>
    </row>
    <row r="1240" spans="1:11" ht="18.75">
      <c r="A1240" t="s">
        <v>1935</v>
      </c>
      <c r="B1240">
        <v>1</v>
      </c>
      <c r="C1240">
        <v>2025</v>
      </c>
      <c r="D1240" s="54">
        <v>45659</v>
      </c>
      <c r="E1240" s="42" t="s">
        <v>160</v>
      </c>
      <c r="F1240" s="76" t="s">
        <v>40</v>
      </c>
      <c r="G1240" s="52">
        <v>-100</v>
      </c>
      <c r="H1240" s="32" t="s">
        <v>1936</v>
      </c>
    </row>
    <row r="1241" spans="1:11" ht="18.75">
      <c r="A1241" t="s">
        <v>1937</v>
      </c>
      <c r="B1241">
        <v>1</v>
      </c>
      <c r="C1241">
        <v>2025</v>
      </c>
      <c r="D1241" s="54">
        <v>45659</v>
      </c>
      <c r="E1241" s="42" t="s">
        <v>160</v>
      </c>
      <c r="F1241" s="76" t="s">
        <v>40</v>
      </c>
      <c r="G1241" s="52">
        <v>-100</v>
      </c>
      <c r="H1241" s="32" t="s">
        <v>1938</v>
      </c>
    </row>
    <row r="1242" spans="1:11" ht="18.75">
      <c r="A1242" t="s">
        <v>1939</v>
      </c>
      <c r="B1242">
        <v>1</v>
      </c>
      <c r="C1242">
        <v>2025</v>
      </c>
      <c r="D1242" s="54">
        <v>45659</v>
      </c>
      <c r="E1242" s="42" t="s">
        <v>160</v>
      </c>
      <c r="F1242" s="76" t="s">
        <v>40</v>
      </c>
      <c r="G1242" s="52">
        <v>-100</v>
      </c>
      <c r="H1242" s="32" t="s">
        <v>1940</v>
      </c>
    </row>
    <row r="1243" spans="1:11" ht="18.75">
      <c r="A1243" t="s">
        <v>1941</v>
      </c>
      <c r="B1243">
        <v>1</v>
      </c>
      <c r="C1243">
        <v>2025</v>
      </c>
      <c r="D1243" s="54">
        <v>45660</v>
      </c>
      <c r="E1243" s="42" t="s">
        <v>160</v>
      </c>
      <c r="F1243" s="76" t="s">
        <v>79</v>
      </c>
      <c r="G1243" s="52">
        <v>1592.67</v>
      </c>
      <c r="H1243" s="32" t="s">
        <v>1942</v>
      </c>
    </row>
    <row r="1244" spans="1:11" ht="18.75">
      <c r="A1244" t="s">
        <v>1943</v>
      </c>
      <c r="B1244">
        <v>1</v>
      </c>
      <c r="C1244">
        <v>2025</v>
      </c>
      <c r="D1244" s="54">
        <v>45660</v>
      </c>
      <c r="E1244" s="42" t="s">
        <v>146</v>
      </c>
      <c r="F1244" s="76" t="s">
        <v>79</v>
      </c>
      <c r="G1244" s="52">
        <v>-1592.67</v>
      </c>
      <c r="H1244" s="32" t="s">
        <v>1944</v>
      </c>
    </row>
    <row r="1245" spans="1:11" ht="18.75">
      <c r="A1245" t="s">
        <v>1945</v>
      </c>
      <c r="B1245">
        <v>1</v>
      </c>
      <c r="C1245">
        <v>2025</v>
      </c>
      <c r="D1245" s="54">
        <v>45660</v>
      </c>
      <c r="E1245" s="42" t="s">
        <v>249</v>
      </c>
      <c r="F1245" s="76" t="s">
        <v>66</v>
      </c>
      <c r="G1245" s="52">
        <v>-22.59</v>
      </c>
      <c r="H1245" s="32" t="s">
        <v>616</v>
      </c>
      <c r="K1245" t="s">
        <v>298</v>
      </c>
    </row>
    <row r="1246" spans="1:11" ht="18.75">
      <c r="A1246" t="s">
        <v>1946</v>
      </c>
      <c r="B1246">
        <v>1</v>
      </c>
      <c r="C1246">
        <v>2025</v>
      </c>
      <c r="D1246" s="54">
        <v>45660</v>
      </c>
      <c r="E1246" s="42" t="s">
        <v>146</v>
      </c>
      <c r="F1246" s="76" t="s">
        <v>59</v>
      </c>
      <c r="G1246" s="52">
        <v>-55</v>
      </c>
      <c r="H1246" s="32" t="s">
        <v>1947</v>
      </c>
    </row>
    <row r="1247" spans="1:11" ht="18.75">
      <c r="A1247" t="s">
        <v>1948</v>
      </c>
      <c r="B1247">
        <v>1</v>
      </c>
      <c r="C1247">
        <v>2025</v>
      </c>
      <c r="D1247" s="54">
        <v>45661</v>
      </c>
      <c r="E1247" s="42" t="s">
        <v>249</v>
      </c>
      <c r="F1247" s="76" t="s">
        <v>57</v>
      </c>
      <c r="G1247" s="52">
        <v>-129.71</v>
      </c>
      <c r="H1247" s="32" t="s">
        <v>282</v>
      </c>
    </row>
    <row r="1248" spans="1:11" ht="18.75">
      <c r="A1248" t="s">
        <v>1949</v>
      </c>
      <c r="B1248">
        <v>1</v>
      </c>
      <c r="C1248">
        <v>2025</v>
      </c>
      <c r="D1248" s="54">
        <v>45661</v>
      </c>
      <c r="E1248" s="42" t="s">
        <v>249</v>
      </c>
      <c r="F1248" s="76" t="s">
        <v>32</v>
      </c>
      <c r="G1248" s="52">
        <v>-35.840000000000003</v>
      </c>
      <c r="H1248" s="32" t="s">
        <v>554</v>
      </c>
    </row>
    <row r="1249" spans="1:8" ht="18.75">
      <c r="A1249" t="s">
        <v>1950</v>
      </c>
      <c r="B1249">
        <v>1</v>
      </c>
      <c r="C1249">
        <v>2025</v>
      </c>
      <c r="D1249" s="54">
        <v>45663</v>
      </c>
      <c r="E1249" s="42" t="s">
        <v>146</v>
      </c>
      <c r="F1249" s="76" t="s">
        <v>34</v>
      </c>
      <c r="G1249" s="52">
        <v>-170</v>
      </c>
      <c r="H1249" s="32" t="s">
        <v>334</v>
      </c>
    </row>
    <row r="1250" spans="1:8" ht="18.75">
      <c r="A1250" t="s">
        <v>1950</v>
      </c>
      <c r="B1250">
        <v>1</v>
      </c>
      <c r="C1250">
        <v>2025</v>
      </c>
      <c r="D1250" s="54">
        <v>45663</v>
      </c>
      <c r="E1250" s="42" t="s">
        <v>146</v>
      </c>
      <c r="F1250" s="76" t="s">
        <v>34</v>
      </c>
      <c r="G1250" s="52">
        <v>-170</v>
      </c>
      <c r="H1250" s="32" t="s">
        <v>334</v>
      </c>
    </row>
    <row r="1251" spans="1:8" ht="18.75">
      <c r="A1251" s="77" t="s">
        <v>1951</v>
      </c>
      <c r="B1251">
        <v>1</v>
      </c>
      <c r="C1251">
        <v>2025</v>
      </c>
      <c r="D1251" s="54">
        <v>45663</v>
      </c>
      <c r="E1251" s="42" t="s">
        <v>146</v>
      </c>
      <c r="F1251" s="76" t="s">
        <v>34</v>
      </c>
      <c r="G1251" s="52">
        <v>-1</v>
      </c>
      <c r="H1251" s="32" t="s">
        <v>1952</v>
      </c>
    </row>
    <row r="1252" spans="1:8" ht="18.75">
      <c r="A1252" s="77" t="s">
        <v>1951</v>
      </c>
      <c r="B1252">
        <v>1</v>
      </c>
      <c r="C1252">
        <v>2025</v>
      </c>
      <c r="D1252" s="54">
        <v>45663</v>
      </c>
      <c r="E1252" s="42" t="s">
        <v>146</v>
      </c>
      <c r="F1252" s="76" t="s">
        <v>34</v>
      </c>
      <c r="G1252" s="52">
        <v>-1</v>
      </c>
      <c r="H1252" s="32" t="s">
        <v>1952</v>
      </c>
    </row>
    <row r="1253" spans="1:8" ht="18.75">
      <c r="A1253" t="s">
        <v>1953</v>
      </c>
      <c r="B1253">
        <v>1</v>
      </c>
      <c r="C1253">
        <v>2025</v>
      </c>
      <c r="D1253" s="54">
        <v>45677</v>
      </c>
      <c r="E1253" s="42" t="s">
        <v>160</v>
      </c>
      <c r="F1253" s="76" t="s">
        <v>49</v>
      </c>
      <c r="G1253" s="52">
        <v>-50</v>
      </c>
      <c r="H1253" s="32" t="s">
        <v>161</v>
      </c>
    </row>
    <row r="1254" spans="1:8" ht="18.75">
      <c r="A1254" t="s">
        <v>1954</v>
      </c>
      <c r="B1254">
        <v>1</v>
      </c>
      <c r="C1254">
        <v>2025</v>
      </c>
      <c r="D1254" s="54">
        <v>45663</v>
      </c>
      <c r="E1254" s="42" t="s">
        <v>146</v>
      </c>
      <c r="F1254" s="76" t="s">
        <v>48</v>
      </c>
      <c r="G1254" s="52">
        <v>-10</v>
      </c>
      <c r="H1254" s="32" t="s">
        <v>1955</v>
      </c>
    </row>
    <row r="1255" spans="1:8" ht="18.75">
      <c r="A1255" t="s">
        <v>1956</v>
      </c>
      <c r="B1255">
        <v>1</v>
      </c>
      <c r="C1255">
        <v>2025</v>
      </c>
      <c r="D1255" s="54">
        <v>45663</v>
      </c>
      <c r="E1255" s="42" t="s">
        <v>160</v>
      </c>
      <c r="F1255" s="76" t="s">
        <v>30</v>
      </c>
      <c r="G1255" s="52">
        <v>-214.82</v>
      </c>
      <c r="H1255" s="32" t="s">
        <v>196</v>
      </c>
    </row>
    <row r="1256" spans="1:8" ht="18.75">
      <c r="A1256" t="s">
        <v>1957</v>
      </c>
      <c r="B1256">
        <v>1</v>
      </c>
      <c r="C1256">
        <v>2025</v>
      </c>
      <c r="D1256" s="54">
        <v>45664</v>
      </c>
      <c r="E1256" s="42" t="s">
        <v>249</v>
      </c>
      <c r="F1256" s="76" t="s">
        <v>42</v>
      </c>
      <c r="G1256" s="52">
        <v>-25.98</v>
      </c>
      <c r="H1256" s="32" t="s">
        <v>278</v>
      </c>
    </row>
    <row r="1257" spans="1:8" ht="18.75">
      <c r="A1257" t="s">
        <v>1958</v>
      </c>
      <c r="B1257">
        <v>1</v>
      </c>
      <c r="C1257">
        <v>2025</v>
      </c>
      <c r="D1257" s="54">
        <v>45664</v>
      </c>
      <c r="E1257" s="42" t="s">
        <v>160</v>
      </c>
      <c r="F1257" s="76" t="s">
        <v>43</v>
      </c>
      <c r="G1257" s="52">
        <v>-9.0299999999999994</v>
      </c>
      <c r="H1257" s="32" t="s">
        <v>163</v>
      </c>
    </row>
    <row r="1258" spans="1:8" ht="18.75">
      <c r="A1258" t="s">
        <v>1959</v>
      </c>
      <c r="B1258">
        <v>1</v>
      </c>
      <c r="C1258">
        <v>2025</v>
      </c>
      <c r="D1258" s="54">
        <v>45665</v>
      </c>
      <c r="E1258" s="42" t="s">
        <v>249</v>
      </c>
      <c r="F1258" s="76" t="s">
        <v>34</v>
      </c>
      <c r="G1258" s="52">
        <v>-56.08</v>
      </c>
      <c r="H1258" s="32" t="s">
        <v>1826</v>
      </c>
    </row>
    <row r="1259" spans="1:8" ht="18.75">
      <c r="A1259" t="s">
        <v>1960</v>
      </c>
      <c r="B1259">
        <v>1</v>
      </c>
      <c r="C1259">
        <v>2025</v>
      </c>
      <c r="D1259" s="54">
        <v>45665</v>
      </c>
      <c r="E1259" s="42" t="s">
        <v>249</v>
      </c>
      <c r="F1259" s="76" t="s">
        <v>45</v>
      </c>
      <c r="G1259" s="52">
        <v>-38.4</v>
      </c>
      <c r="H1259" s="32" t="s">
        <v>1521</v>
      </c>
    </row>
    <row r="1260" spans="1:8" ht="18.75">
      <c r="A1260" t="s">
        <v>1961</v>
      </c>
      <c r="B1260">
        <v>1</v>
      </c>
      <c r="C1260">
        <v>2025</v>
      </c>
      <c r="D1260" s="54">
        <v>45665</v>
      </c>
      <c r="E1260" s="42" t="s">
        <v>160</v>
      </c>
      <c r="F1260" s="76" t="s">
        <v>58</v>
      </c>
      <c r="G1260" s="52">
        <v>80</v>
      </c>
      <c r="H1260" s="32" t="s">
        <v>1962</v>
      </c>
    </row>
    <row r="1261" spans="1:8" ht="18.75">
      <c r="A1261" t="s">
        <v>1963</v>
      </c>
      <c r="B1261">
        <v>1</v>
      </c>
      <c r="C1261">
        <v>2025</v>
      </c>
      <c r="D1261" s="54">
        <v>45665</v>
      </c>
      <c r="E1261" s="42" t="s">
        <v>160</v>
      </c>
      <c r="F1261" s="76" t="s">
        <v>36</v>
      </c>
      <c r="G1261" s="52">
        <v>-73.64</v>
      </c>
      <c r="H1261" s="32" t="s">
        <v>1964</v>
      </c>
    </row>
    <row r="1262" spans="1:8" ht="18.75">
      <c r="A1262" t="s">
        <v>1965</v>
      </c>
      <c r="B1262">
        <v>1</v>
      </c>
      <c r="C1262">
        <v>2025</v>
      </c>
      <c r="D1262" s="54">
        <v>45665</v>
      </c>
      <c r="E1262" s="42" t="s">
        <v>160</v>
      </c>
      <c r="F1262" s="76" t="s">
        <v>51</v>
      </c>
      <c r="G1262" s="52">
        <v>-125.87</v>
      </c>
      <c r="H1262" s="32" t="s">
        <v>199</v>
      </c>
    </row>
    <row r="1263" spans="1:8" ht="18.75">
      <c r="A1263" t="s">
        <v>1966</v>
      </c>
      <c r="B1263">
        <v>1</v>
      </c>
      <c r="C1263">
        <v>2025</v>
      </c>
      <c r="D1263" s="54">
        <v>45666</v>
      </c>
      <c r="E1263" s="42" t="s">
        <v>249</v>
      </c>
      <c r="F1263" s="76" t="s">
        <v>45</v>
      </c>
      <c r="G1263" s="52">
        <v>-34.47</v>
      </c>
      <c r="H1263" s="32" t="s">
        <v>1277</v>
      </c>
    </row>
    <row r="1264" spans="1:8" ht="18.75">
      <c r="A1264" t="s">
        <v>1967</v>
      </c>
      <c r="B1264">
        <v>1</v>
      </c>
      <c r="C1264">
        <v>2025</v>
      </c>
      <c r="D1264" s="54">
        <v>45666</v>
      </c>
      <c r="E1264" s="42" t="s">
        <v>249</v>
      </c>
      <c r="F1264" s="76" t="s">
        <v>46</v>
      </c>
      <c r="G1264" s="52">
        <v>-20</v>
      </c>
      <c r="H1264" s="32" t="s">
        <v>268</v>
      </c>
    </row>
    <row r="1265" spans="1:8" ht="18.75">
      <c r="A1265" t="s">
        <v>1968</v>
      </c>
      <c r="B1265">
        <v>1</v>
      </c>
      <c r="C1265">
        <v>2025</v>
      </c>
      <c r="D1265" s="54">
        <v>45666</v>
      </c>
      <c r="E1265" s="42" t="s">
        <v>249</v>
      </c>
      <c r="F1265" s="76" t="s">
        <v>35</v>
      </c>
      <c r="G1265" s="52">
        <v>-88.14</v>
      </c>
      <c r="H1265" s="32" t="s">
        <v>285</v>
      </c>
    </row>
    <row r="1266" spans="1:8" ht="18.75">
      <c r="A1266" t="s">
        <v>1969</v>
      </c>
      <c r="B1266">
        <v>1</v>
      </c>
      <c r="C1266">
        <v>2025</v>
      </c>
      <c r="D1266" s="54">
        <v>45666</v>
      </c>
      <c r="E1266" s="42" t="s">
        <v>249</v>
      </c>
      <c r="F1266" s="76" t="s">
        <v>47</v>
      </c>
      <c r="G1266" s="52">
        <v>-34.99</v>
      </c>
      <c r="H1266" s="32" t="s">
        <v>1970</v>
      </c>
    </row>
    <row r="1267" spans="1:8" ht="18.75">
      <c r="A1267" t="s">
        <v>1971</v>
      </c>
      <c r="B1267">
        <v>1</v>
      </c>
      <c r="C1267">
        <v>2025</v>
      </c>
      <c r="D1267" s="54">
        <v>45666</v>
      </c>
      <c r="E1267" s="42" t="s">
        <v>249</v>
      </c>
      <c r="F1267" s="76" t="s">
        <v>32</v>
      </c>
      <c r="G1267" s="52">
        <v>-52.23</v>
      </c>
      <c r="H1267" s="32" t="s">
        <v>1572</v>
      </c>
    </row>
    <row r="1268" spans="1:8" ht="18.75">
      <c r="A1268" t="s">
        <v>1972</v>
      </c>
      <c r="B1268">
        <v>1</v>
      </c>
      <c r="C1268">
        <v>2025</v>
      </c>
      <c r="D1268" s="54">
        <v>45667</v>
      </c>
      <c r="E1268" s="42" t="s">
        <v>249</v>
      </c>
      <c r="F1268" s="76" t="s">
        <v>34</v>
      </c>
      <c r="G1268" s="52">
        <v>-9.2799999999999994</v>
      </c>
      <c r="H1268" s="32" t="s">
        <v>1973</v>
      </c>
    </row>
    <row r="1269" spans="1:8" ht="18.75">
      <c r="A1269" t="s">
        <v>1974</v>
      </c>
      <c r="B1269">
        <v>1</v>
      </c>
      <c r="C1269">
        <v>2025</v>
      </c>
      <c r="D1269" s="54">
        <v>45667</v>
      </c>
      <c r="E1269" s="42" t="s">
        <v>160</v>
      </c>
      <c r="F1269" s="76" t="s">
        <v>33</v>
      </c>
      <c r="G1269" s="52">
        <v>-443.25</v>
      </c>
      <c r="H1269" s="32" t="s">
        <v>169</v>
      </c>
    </row>
    <row r="1270" spans="1:8" ht="18.75">
      <c r="A1270" t="s">
        <v>1975</v>
      </c>
      <c r="B1270">
        <v>1</v>
      </c>
      <c r="C1270">
        <v>2025</v>
      </c>
      <c r="D1270" s="54">
        <v>45667</v>
      </c>
      <c r="E1270" s="42" t="s">
        <v>249</v>
      </c>
      <c r="F1270" s="76" t="s">
        <v>47</v>
      </c>
      <c r="G1270" s="52">
        <v>-31.9</v>
      </c>
      <c r="H1270" s="32" t="s">
        <v>727</v>
      </c>
    </row>
    <row r="1271" spans="1:8" ht="18.75">
      <c r="A1271" t="s">
        <v>1976</v>
      </c>
      <c r="B1271">
        <v>1</v>
      </c>
      <c r="C1271">
        <v>2025</v>
      </c>
      <c r="D1271" s="54">
        <v>45669</v>
      </c>
      <c r="E1271" s="42" t="s">
        <v>249</v>
      </c>
      <c r="F1271" s="76" t="s">
        <v>56</v>
      </c>
      <c r="G1271" s="52">
        <v>-16.940000000000001</v>
      </c>
      <c r="H1271" s="32" t="s">
        <v>751</v>
      </c>
    </row>
    <row r="1272" spans="1:8" ht="18.75">
      <c r="A1272" t="s">
        <v>1977</v>
      </c>
      <c r="B1272">
        <v>1</v>
      </c>
      <c r="C1272">
        <v>2025</v>
      </c>
      <c r="D1272" s="54">
        <v>45670</v>
      </c>
      <c r="E1272" s="42" t="s">
        <v>249</v>
      </c>
      <c r="F1272" s="76" t="s">
        <v>57</v>
      </c>
      <c r="G1272" s="52">
        <v>-156.94</v>
      </c>
      <c r="H1272" s="32" t="s">
        <v>351</v>
      </c>
    </row>
    <row r="1273" spans="1:8" ht="18.75">
      <c r="A1273" t="s">
        <v>1978</v>
      </c>
      <c r="B1273">
        <v>1</v>
      </c>
      <c r="C1273">
        <v>2025</v>
      </c>
      <c r="D1273" s="54">
        <v>45670</v>
      </c>
      <c r="E1273" s="42" t="s">
        <v>249</v>
      </c>
      <c r="F1273" s="76" t="s">
        <v>32</v>
      </c>
      <c r="G1273" s="52">
        <v>-54.42</v>
      </c>
      <c r="H1273" s="32" t="s">
        <v>646</v>
      </c>
    </row>
    <row r="1274" spans="1:8" ht="18.75">
      <c r="A1274" t="s">
        <v>1979</v>
      </c>
      <c r="B1274">
        <v>1</v>
      </c>
      <c r="C1274">
        <v>2025</v>
      </c>
      <c r="D1274" s="54">
        <v>45672</v>
      </c>
      <c r="E1274" s="42" t="s">
        <v>160</v>
      </c>
      <c r="F1274" s="76" t="s">
        <v>51</v>
      </c>
      <c r="G1274" s="52">
        <v>-125.57</v>
      </c>
      <c r="H1274" s="32" t="s">
        <v>210</v>
      </c>
    </row>
    <row r="1275" spans="1:8" ht="18.75">
      <c r="A1275" t="s">
        <v>1980</v>
      </c>
      <c r="B1275">
        <v>1</v>
      </c>
      <c r="C1275">
        <v>2025</v>
      </c>
      <c r="D1275" s="54">
        <v>45672</v>
      </c>
      <c r="E1275" s="42" t="s">
        <v>160</v>
      </c>
      <c r="F1275" s="76" t="s">
        <v>64</v>
      </c>
      <c r="G1275" s="52">
        <v>-287</v>
      </c>
      <c r="H1275" s="32" t="s">
        <v>208</v>
      </c>
    </row>
    <row r="1276" spans="1:8" ht="18.75">
      <c r="A1276" t="s">
        <v>1981</v>
      </c>
      <c r="B1276">
        <v>1</v>
      </c>
      <c r="C1276">
        <v>2025</v>
      </c>
      <c r="D1276" s="54">
        <v>45672</v>
      </c>
      <c r="E1276" s="42" t="s">
        <v>160</v>
      </c>
      <c r="F1276" s="76" t="s">
        <v>79</v>
      </c>
      <c r="G1276" s="52">
        <v>2232.42</v>
      </c>
      <c r="H1276" s="32" t="s">
        <v>1655</v>
      </c>
    </row>
    <row r="1277" spans="1:8" ht="18.75">
      <c r="A1277" t="s">
        <v>1982</v>
      </c>
      <c r="B1277">
        <v>1</v>
      </c>
      <c r="C1277">
        <v>2025</v>
      </c>
      <c r="D1277" s="54">
        <v>45673</v>
      </c>
      <c r="E1277" s="42" t="s">
        <v>249</v>
      </c>
      <c r="F1277" s="76" t="s">
        <v>39</v>
      </c>
      <c r="G1277" s="52">
        <v>-120.1</v>
      </c>
      <c r="H1277" s="32" t="s">
        <v>304</v>
      </c>
    </row>
    <row r="1278" spans="1:8" ht="18.75">
      <c r="A1278" t="s">
        <v>1983</v>
      </c>
      <c r="B1278">
        <v>1</v>
      </c>
      <c r="C1278">
        <v>2025</v>
      </c>
      <c r="D1278" s="54">
        <v>45673</v>
      </c>
      <c r="E1278" s="42" t="s">
        <v>160</v>
      </c>
      <c r="F1278" s="76" t="s">
        <v>79</v>
      </c>
      <c r="G1278" s="52">
        <v>1281.69</v>
      </c>
      <c r="H1278" s="32" t="s">
        <v>190</v>
      </c>
    </row>
    <row r="1279" spans="1:8" ht="18.75">
      <c r="A1279" t="s">
        <v>1984</v>
      </c>
      <c r="B1279">
        <v>1</v>
      </c>
      <c r="C1279">
        <v>2025</v>
      </c>
      <c r="D1279" s="54">
        <v>45673</v>
      </c>
      <c r="E1279" s="42" t="s">
        <v>249</v>
      </c>
      <c r="F1279" s="76" t="s">
        <v>54</v>
      </c>
      <c r="G1279" s="52">
        <v>-6.68</v>
      </c>
      <c r="H1279" s="32" t="s">
        <v>1378</v>
      </c>
    </row>
    <row r="1280" spans="1:8" ht="18.75">
      <c r="A1280" t="s">
        <v>1985</v>
      </c>
      <c r="B1280">
        <v>1</v>
      </c>
      <c r="C1280">
        <v>2025</v>
      </c>
      <c r="D1280" s="54">
        <v>45674</v>
      </c>
      <c r="E1280" s="42" t="s">
        <v>249</v>
      </c>
      <c r="F1280" s="76" t="s">
        <v>79</v>
      </c>
      <c r="G1280" s="52">
        <v>6950.33</v>
      </c>
      <c r="H1280" s="32" t="s">
        <v>1755</v>
      </c>
    </row>
    <row r="1281" spans="1:8" ht="18.75">
      <c r="A1281" t="s">
        <v>1986</v>
      </c>
      <c r="B1281">
        <v>1</v>
      </c>
      <c r="C1281">
        <v>2025</v>
      </c>
      <c r="D1281" s="54">
        <v>45674</v>
      </c>
      <c r="E1281" s="42" t="s">
        <v>249</v>
      </c>
      <c r="F1281" s="76" t="s">
        <v>54</v>
      </c>
      <c r="G1281" s="52">
        <v>-3.59</v>
      </c>
      <c r="H1281" s="32" t="s">
        <v>1987</v>
      </c>
    </row>
    <row r="1282" spans="1:8" ht="18.75">
      <c r="A1282" t="s">
        <v>1988</v>
      </c>
      <c r="B1282">
        <v>1</v>
      </c>
      <c r="C1282">
        <v>2025</v>
      </c>
      <c r="D1282" s="54">
        <v>45675</v>
      </c>
      <c r="E1282" s="42" t="s">
        <v>249</v>
      </c>
      <c r="F1282" s="76" t="s">
        <v>54</v>
      </c>
      <c r="G1282" s="52">
        <v>-12.59</v>
      </c>
      <c r="H1282" s="32" t="s">
        <v>1989</v>
      </c>
    </row>
    <row r="1283" spans="1:8" ht="18.75">
      <c r="A1283" t="s">
        <v>1990</v>
      </c>
      <c r="B1283">
        <v>1</v>
      </c>
      <c r="C1283">
        <v>2025</v>
      </c>
      <c r="D1283" s="54">
        <v>45676</v>
      </c>
      <c r="E1283" s="42" t="s">
        <v>249</v>
      </c>
      <c r="F1283" s="76" t="s">
        <v>54</v>
      </c>
      <c r="G1283" s="52">
        <v>-8.08</v>
      </c>
      <c r="H1283" s="32" t="s">
        <v>1430</v>
      </c>
    </row>
    <row r="1284" spans="1:8" ht="18.75">
      <c r="A1284" t="s">
        <v>1991</v>
      </c>
      <c r="B1284">
        <v>1</v>
      </c>
      <c r="C1284">
        <v>2025</v>
      </c>
      <c r="D1284" s="54">
        <v>45676</v>
      </c>
      <c r="E1284" s="42" t="s">
        <v>249</v>
      </c>
      <c r="F1284" s="76" t="s">
        <v>32</v>
      </c>
      <c r="G1284" s="52">
        <v>-52.81</v>
      </c>
      <c r="H1284" s="32" t="s">
        <v>1992</v>
      </c>
    </row>
    <row r="1285" spans="1:8" ht="18.75">
      <c r="A1285" t="s">
        <v>1993</v>
      </c>
      <c r="B1285">
        <v>1</v>
      </c>
      <c r="C1285">
        <v>2025</v>
      </c>
      <c r="D1285" s="54">
        <v>45677</v>
      </c>
      <c r="E1285" s="42" t="s">
        <v>249</v>
      </c>
      <c r="F1285" s="76" t="s">
        <v>58</v>
      </c>
      <c r="G1285" s="52">
        <v>-89.45</v>
      </c>
      <c r="H1285" s="32" t="s">
        <v>1994</v>
      </c>
    </row>
    <row r="1286" spans="1:8" ht="18.75">
      <c r="A1286" t="s">
        <v>1995</v>
      </c>
      <c r="B1286">
        <v>2</v>
      </c>
      <c r="C1286">
        <v>2025</v>
      </c>
      <c r="D1286" s="54">
        <v>45691</v>
      </c>
      <c r="E1286" s="42" t="s">
        <v>160</v>
      </c>
      <c r="F1286" s="76" t="s">
        <v>49</v>
      </c>
      <c r="G1286" s="52">
        <v>-50</v>
      </c>
      <c r="H1286" s="32" t="s">
        <v>173</v>
      </c>
    </row>
    <row r="1287" spans="1:8" ht="18.75">
      <c r="A1287" t="s">
        <v>1996</v>
      </c>
      <c r="B1287">
        <v>1</v>
      </c>
      <c r="C1287">
        <v>2025</v>
      </c>
      <c r="D1287" s="54">
        <v>45677</v>
      </c>
      <c r="E1287" s="42" t="s">
        <v>160</v>
      </c>
      <c r="F1287" s="76" t="s">
        <v>79</v>
      </c>
      <c r="G1287" s="52">
        <v>-6950.33</v>
      </c>
      <c r="H1287" s="32" t="s">
        <v>214</v>
      </c>
    </row>
    <row r="1288" spans="1:8" ht="18.75">
      <c r="A1288" t="s">
        <v>1997</v>
      </c>
      <c r="B1288">
        <v>1</v>
      </c>
      <c r="C1288">
        <v>2025</v>
      </c>
      <c r="D1288" s="54">
        <v>45677</v>
      </c>
      <c r="E1288" s="42" t="s">
        <v>160</v>
      </c>
      <c r="F1288" s="76" t="s">
        <v>60</v>
      </c>
      <c r="G1288" s="52">
        <v>-87</v>
      </c>
      <c r="H1288" s="32" t="s">
        <v>212</v>
      </c>
    </row>
    <row r="1289" spans="1:8" ht="18.75">
      <c r="A1289" t="s">
        <v>1998</v>
      </c>
      <c r="B1289">
        <v>1</v>
      </c>
      <c r="C1289">
        <v>2025</v>
      </c>
      <c r="D1289" s="54">
        <v>45678</v>
      </c>
      <c r="E1289" s="42" t="s">
        <v>160</v>
      </c>
      <c r="F1289" s="76" t="s">
        <v>43</v>
      </c>
      <c r="G1289" s="52">
        <v>-65.52</v>
      </c>
      <c r="H1289" s="32" t="s">
        <v>163</v>
      </c>
    </row>
    <row r="1290" spans="1:8" ht="18.75">
      <c r="A1290" t="s">
        <v>1999</v>
      </c>
      <c r="B1290">
        <v>1</v>
      </c>
      <c r="C1290">
        <v>2025</v>
      </c>
      <c r="D1290" s="54">
        <v>45678</v>
      </c>
      <c r="E1290" s="42" t="s">
        <v>249</v>
      </c>
      <c r="F1290" s="76" t="s">
        <v>57</v>
      </c>
      <c r="G1290" s="52">
        <v>-119.95</v>
      </c>
      <c r="H1290" s="32" t="s">
        <v>351</v>
      </c>
    </row>
    <row r="1291" spans="1:8" ht="18.75">
      <c r="A1291" t="s">
        <v>2000</v>
      </c>
      <c r="B1291">
        <v>1</v>
      </c>
      <c r="C1291">
        <v>2025</v>
      </c>
      <c r="D1291" s="54">
        <v>45678</v>
      </c>
      <c r="E1291" s="42" t="s">
        <v>146</v>
      </c>
      <c r="F1291" s="76" t="s">
        <v>47</v>
      </c>
      <c r="G1291" s="52">
        <v>-50</v>
      </c>
      <c r="H1291" s="32" t="s">
        <v>2001</v>
      </c>
    </row>
    <row r="1292" spans="1:8" ht="18.75">
      <c r="A1292" t="s">
        <v>2002</v>
      </c>
      <c r="B1292">
        <v>1</v>
      </c>
      <c r="C1292">
        <v>2025</v>
      </c>
      <c r="D1292" s="54">
        <v>45678</v>
      </c>
      <c r="E1292" s="42" t="s">
        <v>249</v>
      </c>
      <c r="F1292" s="76" t="s">
        <v>47</v>
      </c>
      <c r="G1292" s="52">
        <v>-13.99</v>
      </c>
      <c r="H1292" s="32" t="s">
        <v>1826</v>
      </c>
    </row>
    <row r="1293" spans="1:8" ht="18.75">
      <c r="A1293" t="s">
        <v>2003</v>
      </c>
      <c r="B1293">
        <v>1</v>
      </c>
      <c r="C1293">
        <v>2025</v>
      </c>
      <c r="D1293" s="54">
        <v>45678</v>
      </c>
      <c r="E1293" s="42" t="s">
        <v>249</v>
      </c>
      <c r="F1293" s="76" t="s">
        <v>32</v>
      </c>
      <c r="G1293" s="52">
        <v>-45.23</v>
      </c>
      <c r="H1293" s="32" t="s">
        <v>1572</v>
      </c>
    </row>
    <row r="1294" spans="1:8" ht="18.75">
      <c r="A1294" t="s">
        <v>2004</v>
      </c>
      <c r="B1294">
        <v>1</v>
      </c>
      <c r="C1294">
        <v>2025</v>
      </c>
      <c r="D1294" s="54">
        <v>45679</v>
      </c>
      <c r="E1294" s="42" t="s">
        <v>160</v>
      </c>
      <c r="F1294" s="76" t="s">
        <v>63</v>
      </c>
      <c r="G1294" s="52">
        <v>-99.03</v>
      </c>
      <c r="H1294" s="32" t="s">
        <v>224</v>
      </c>
    </row>
    <row r="1295" spans="1:8" ht="18.75">
      <c r="A1295" t="s">
        <v>2005</v>
      </c>
      <c r="B1295">
        <v>1</v>
      </c>
      <c r="C1295">
        <v>2025</v>
      </c>
      <c r="D1295" s="54">
        <v>45680</v>
      </c>
      <c r="E1295" s="42" t="s">
        <v>249</v>
      </c>
      <c r="F1295" s="76" t="s">
        <v>79</v>
      </c>
      <c r="G1295" s="52">
        <v>-824.1</v>
      </c>
      <c r="H1295" s="32" t="s">
        <v>2006</v>
      </c>
    </row>
    <row r="1296" spans="1:8" ht="18.75">
      <c r="A1296" t="s">
        <v>2007</v>
      </c>
      <c r="B1296">
        <v>1</v>
      </c>
      <c r="C1296">
        <v>2025</v>
      </c>
      <c r="D1296" s="54">
        <v>45680</v>
      </c>
      <c r="E1296" s="42" t="s">
        <v>249</v>
      </c>
      <c r="F1296" s="76" t="s">
        <v>41</v>
      </c>
      <c r="G1296" s="52">
        <v>-5.0599999999999996</v>
      </c>
      <c r="H1296" s="32" t="s">
        <v>2008</v>
      </c>
    </row>
    <row r="1297" spans="1:8" ht="18.75">
      <c r="A1297" t="s">
        <v>2009</v>
      </c>
      <c r="B1297">
        <v>1</v>
      </c>
      <c r="C1297">
        <v>2025</v>
      </c>
      <c r="D1297" s="54">
        <v>45681</v>
      </c>
      <c r="E1297" s="42" t="s">
        <v>160</v>
      </c>
      <c r="F1297" s="76" t="s">
        <v>33</v>
      </c>
      <c r="G1297" s="52">
        <v>-443.25</v>
      </c>
      <c r="H1297" s="32" t="s">
        <v>169</v>
      </c>
    </row>
    <row r="1298" spans="1:8" ht="18.75">
      <c r="A1298" t="s">
        <v>2010</v>
      </c>
      <c r="B1298">
        <v>1</v>
      </c>
      <c r="C1298">
        <v>2025</v>
      </c>
      <c r="D1298" s="54">
        <v>45681</v>
      </c>
      <c r="E1298" s="42" t="s">
        <v>160</v>
      </c>
      <c r="F1298" s="76" t="s">
        <v>48</v>
      </c>
      <c r="G1298" s="52">
        <v>-4</v>
      </c>
      <c r="H1298" s="32" t="s">
        <v>228</v>
      </c>
    </row>
    <row r="1299" spans="1:8" ht="18.75">
      <c r="A1299" t="s">
        <v>2011</v>
      </c>
      <c r="B1299">
        <v>1</v>
      </c>
      <c r="C1299">
        <v>2025</v>
      </c>
      <c r="D1299" s="54">
        <v>45681</v>
      </c>
      <c r="E1299" s="42" t="s">
        <v>160</v>
      </c>
      <c r="F1299" s="76" t="s">
        <v>48</v>
      </c>
      <c r="G1299" s="52">
        <v>-11.25</v>
      </c>
      <c r="H1299" s="32" t="s">
        <v>1140</v>
      </c>
    </row>
    <row r="1300" spans="1:8" ht="18.75">
      <c r="A1300" t="s">
        <v>2012</v>
      </c>
      <c r="B1300">
        <v>1</v>
      </c>
      <c r="C1300">
        <v>2025</v>
      </c>
      <c r="D1300" s="54">
        <v>45681</v>
      </c>
      <c r="E1300" s="42" t="s">
        <v>160</v>
      </c>
      <c r="F1300" s="76" t="s">
        <v>29</v>
      </c>
      <c r="G1300" s="52">
        <v>-225.75</v>
      </c>
      <c r="H1300" s="32" t="s">
        <v>167</v>
      </c>
    </row>
    <row r="1301" spans="1:8" ht="18.75">
      <c r="A1301" t="s">
        <v>2013</v>
      </c>
      <c r="B1301">
        <v>1</v>
      </c>
      <c r="C1301">
        <v>2025</v>
      </c>
      <c r="D1301" s="54">
        <v>45682</v>
      </c>
      <c r="E1301" s="42" t="s">
        <v>249</v>
      </c>
      <c r="F1301" s="76" t="s">
        <v>58</v>
      </c>
      <c r="G1301" s="52">
        <v>-57.56</v>
      </c>
      <c r="H1301" s="32" t="s">
        <v>282</v>
      </c>
    </row>
    <row r="1302" spans="1:8" ht="18.75">
      <c r="A1302" t="s">
        <v>2014</v>
      </c>
      <c r="B1302">
        <v>1</v>
      </c>
      <c r="C1302">
        <v>2025</v>
      </c>
      <c r="D1302" s="54">
        <v>45682</v>
      </c>
      <c r="E1302" s="42" t="s">
        <v>249</v>
      </c>
      <c r="F1302" s="76" t="s">
        <v>52</v>
      </c>
      <c r="G1302" s="52">
        <v>-71.09</v>
      </c>
      <c r="H1302" s="32" t="s">
        <v>282</v>
      </c>
    </row>
    <row r="1303" spans="1:8" ht="18.75">
      <c r="A1303" t="s">
        <v>2015</v>
      </c>
      <c r="B1303">
        <v>1</v>
      </c>
      <c r="C1303">
        <v>2025</v>
      </c>
      <c r="D1303" s="54">
        <v>45682</v>
      </c>
      <c r="E1303" s="42" t="s">
        <v>249</v>
      </c>
      <c r="F1303" s="76" t="s">
        <v>79</v>
      </c>
      <c r="G1303" s="52">
        <v>-645.21</v>
      </c>
      <c r="H1303" s="32" t="s">
        <v>1192</v>
      </c>
    </row>
    <row r="1304" spans="1:8" ht="18.75">
      <c r="A1304" t="s">
        <v>2016</v>
      </c>
      <c r="B1304">
        <v>1</v>
      </c>
      <c r="C1304">
        <v>2025</v>
      </c>
      <c r="D1304" s="54">
        <v>45682</v>
      </c>
      <c r="E1304" s="42" t="s">
        <v>249</v>
      </c>
      <c r="F1304" s="76" t="s">
        <v>57</v>
      </c>
      <c r="G1304" s="52">
        <v>-148.25</v>
      </c>
      <c r="H1304" s="32" t="s">
        <v>282</v>
      </c>
    </row>
    <row r="1305" spans="1:8" ht="18.75">
      <c r="A1305" t="s">
        <v>2017</v>
      </c>
      <c r="B1305">
        <v>1</v>
      </c>
      <c r="C1305">
        <v>2025</v>
      </c>
      <c r="D1305" s="54">
        <v>45682</v>
      </c>
      <c r="E1305" s="42" t="s">
        <v>249</v>
      </c>
      <c r="F1305" s="76" t="s">
        <v>44</v>
      </c>
      <c r="G1305" s="52">
        <v>-16.72</v>
      </c>
      <c r="H1305" s="32" t="s">
        <v>2018</v>
      </c>
    </row>
    <row r="1306" spans="1:8" ht="18.75">
      <c r="A1306" t="s">
        <v>2019</v>
      </c>
      <c r="B1306">
        <v>1</v>
      </c>
      <c r="C1306">
        <v>2025</v>
      </c>
      <c r="D1306" s="54">
        <v>45682</v>
      </c>
      <c r="E1306" s="42" t="s">
        <v>249</v>
      </c>
      <c r="F1306" s="76" t="s">
        <v>44</v>
      </c>
      <c r="G1306" s="52">
        <v>-17.399999999999999</v>
      </c>
      <c r="H1306" s="32" t="s">
        <v>2020</v>
      </c>
    </row>
    <row r="1307" spans="1:8" ht="18.75">
      <c r="A1307" t="s">
        <v>2021</v>
      </c>
      <c r="B1307">
        <v>1</v>
      </c>
      <c r="C1307">
        <v>2025</v>
      </c>
      <c r="D1307" s="54">
        <v>45682</v>
      </c>
      <c r="E1307" s="42" t="s">
        <v>249</v>
      </c>
      <c r="F1307" s="76" t="s">
        <v>44</v>
      </c>
      <c r="G1307" s="52">
        <v>-51.37</v>
      </c>
      <c r="H1307" s="32" t="s">
        <v>2022</v>
      </c>
    </row>
    <row r="1308" spans="1:8" ht="18.75">
      <c r="A1308" t="s">
        <v>2023</v>
      </c>
      <c r="B1308">
        <v>1</v>
      </c>
      <c r="C1308">
        <v>2025</v>
      </c>
      <c r="D1308" s="54">
        <v>45682</v>
      </c>
      <c r="E1308" s="42" t="s">
        <v>249</v>
      </c>
      <c r="F1308" s="76" t="s">
        <v>55</v>
      </c>
      <c r="G1308" s="52">
        <v>-282.58</v>
      </c>
      <c r="H1308" s="32" t="s">
        <v>356</v>
      </c>
    </row>
    <row r="1309" spans="1:8" ht="18.75">
      <c r="A1309" t="s">
        <v>2024</v>
      </c>
      <c r="B1309">
        <v>1</v>
      </c>
      <c r="C1309">
        <v>2025</v>
      </c>
      <c r="D1309" s="54">
        <v>45683</v>
      </c>
      <c r="E1309" s="42" t="s">
        <v>249</v>
      </c>
      <c r="F1309" s="76" t="s">
        <v>52</v>
      </c>
      <c r="G1309" s="52">
        <v>-59.99</v>
      </c>
      <c r="H1309" s="32" t="s">
        <v>2025</v>
      </c>
    </row>
    <row r="1310" spans="1:8" ht="18.75">
      <c r="A1310" t="s">
        <v>2026</v>
      </c>
      <c r="B1310">
        <v>1</v>
      </c>
      <c r="C1310">
        <v>2025</v>
      </c>
      <c r="D1310" s="54">
        <v>45685</v>
      </c>
      <c r="E1310" s="42" t="s">
        <v>249</v>
      </c>
      <c r="F1310" s="76" t="s">
        <v>58</v>
      </c>
      <c r="G1310" s="52">
        <v>-36.369999999999997</v>
      </c>
      <c r="H1310" s="32" t="s">
        <v>2027</v>
      </c>
    </row>
    <row r="1311" spans="1:8" ht="18.75">
      <c r="A1311" t="s">
        <v>2028</v>
      </c>
      <c r="B1311">
        <v>1</v>
      </c>
      <c r="C1311">
        <v>2025</v>
      </c>
      <c r="D1311" s="54">
        <v>45685</v>
      </c>
      <c r="E1311" s="42" t="s">
        <v>249</v>
      </c>
      <c r="F1311" s="76" t="s">
        <v>58</v>
      </c>
      <c r="G1311" s="52">
        <v>-52.09</v>
      </c>
      <c r="H1311" s="32" t="s">
        <v>308</v>
      </c>
    </row>
    <row r="1312" spans="1:8" ht="18.75">
      <c r="A1312" t="s">
        <v>2029</v>
      </c>
      <c r="B1312">
        <v>1</v>
      </c>
      <c r="C1312">
        <v>2025</v>
      </c>
      <c r="D1312" s="54">
        <v>45686</v>
      </c>
      <c r="E1312" s="42" t="s">
        <v>160</v>
      </c>
      <c r="F1312" s="76" t="s">
        <v>79</v>
      </c>
      <c r="G1312" s="52">
        <v>2260.42</v>
      </c>
      <c r="H1312" s="32" t="s">
        <v>1655</v>
      </c>
    </row>
    <row r="1313" spans="1:9" ht="18.75">
      <c r="A1313" t="s">
        <v>2030</v>
      </c>
      <c r="B1313">
        <v>1</v>
      </c>
      <c r="C1313">
        <v>2025</v>
      </c>
      <c r="D1313" s="54">
        <v>45687</v>
      </c>
      <c r="E1313" s="42" t="s">
        <v>160</v>
      </c>
      <c r="F1313" s="76" t="s">
        <v>79</v>
      </c>
      <c r="G1313" s="52">
        <v>1354.26</v>
      </c>
      <c r="H1313" s="32" t="s">
        <v>190</v>
      </c>
    </row>
    <row r="1314" spans="1:9" ht="18.75">
      <c r="A1314" t="s">
        <v>2031</v>
      </c>
      <c r="B1314">
        <v>1</v>
      </c>
      <c r="C1314">
        <v>2025</v>
      </c>
      <c r="D1314" s="54">
        <v>45687</v>
      </c>
      <c r="E1314" s="42" t="s">
        <v>249</v>
      </c>
      <c r="F1314" s="76" t="s">
        <v>66</v>
      </c>
      <c r="G1314" s="52">
        <v>-6</v>
      </c>
      <c r="H1314" s="32" t="s">
        <v>1577</v>
      </c>
    </row>
    <row r="1315" spans="1:9" ht="18.75">
      <c r="A1315" s="77" t="s">
        <v>2032</v>
      </c>
      <c r="B1315">
        <v>1</v>
      </c>
      <c r="C1315">
        <v>2025</v>
      </c>
      <c r="D1315" s="54">
        <v>45687</v>
      </c>
      <c r="E1315" s="42" t="s">
        <v>249</v>
      </c>
      <c r="F1315" s="76" t="s">
        <v>32</v>
      </c>
      <c r="G1315" s="52">
        <v>-41.94</v>
      </c>
      <c r="H1315" s="32" t="s">
        <v>554</v>
      </c>
    </row>
    <row r="1316" spans="1:9" ht="18.75">
      <c r="A1316" t="s">
        <v>2033</v>
      </c>
      <c r="B1316">
        <v>2</v>
      </c>
      <c r="C1316">
        <v>2025</v>
      </c>
      <c r="D1316" s="54">
        <v>45691</v>
      </c>
      <c r="E1316" s="42" t="s">
        <v>160</v>
      </c>
      <c r="F1316" s="76" t="s">
        <v>49</v>
      </c>
      <c r="G1316" s="52">
        <v>-50</v>
      </c>
      <c r="H1316" s="32" t="s">
        <v>161</v>
      </c>
    </row>
    <row r="1317" spans="1:9" ht="18.75">
      <c r="A1317" t="s">
        <v>2034</v>
      </c>
      <c r="B1317">
        <v>2</v>
      </c>
      <c r="C1317">
        <v>2025</v>
      </c>
      <c r="D1317" s="54">
        <v>45705</v>
      </c>
      <c r="E1317" s="42" t="s">
        <v>160</v>
      </c>
      <c r="F1317" s="76" t="s">
        <v>49</v>
      </c>
      <c r="G1317" s="52">
        <v>-50</v>
      </c>
      <c r="H1317" s="32" t="s">
        <v>161</v>
      </c>
    </row>
    <row r="1318" spans="1:9" ht="18.75">
      <c r="A1318" t="s">
        <v>2035</v>
      </c>
      <c r="B1318">
        <v>2</v>
      </c>
      <c r="C1318">
        <v>2025</v>
      </c>
      <c r="D1318" s="54">
        <v>45691</v>
      </c>
      <c r="E1318" s="42" t="s">
        <v>146</v>
      </c>
      <c r="F1318" s="76" t="s">
        <v>48</v>
      </c>
      <c r="G1318" s="52">
        <v>5.0999999999999996</v>
      </c>
      <c r="H1318" s="32" t="s">
        <v>175</v>
      </c>
    </row>
    <row r="1319" spans="1:9" ht="18.75">
      <c r="A1319" t="s">
        <v>2036</v>
      </c>
      <c r="B1319">
        <v>2</v>
      </c>
      <c r="C1319">
        <v>2025</v>
      </c>
      <c r="D1319" s="54">
        <v>45691</v>
      </c>
      <c r="E1319" s="42" t="s">
        <v>249</v>
      </c>
      <c r="F1319" s="76" t="s">
        <v>66</v>
      </c>
      <c r="G1319" s="52">
        <v>-1.5</v>
      </c>
      <c r="H1319" s="32" t="s">
        <v>616</v>
      </c>
    </row>
    <row r="1320" spans="1:9" ht="18.75">
      <c r="A1320" t="s">
        <v>2037</v>
      </c>
      <c r="B1320">
        <v>2</v>
      </c>
      <c r="C1320">
        <v>2025</v>
      </c>
      <c r="D1320" s="54">
        <v>45691</v>
      </c>
      <c r="E1320" s="42" t="s">
        <v>249</v>
      </c>
      <c r="F1320" s="76" t="s">
        <v>57</v>
      </c>
      <c r="G1320" s="52">
        <v>-135.69999999999999</v>
      </c>
      <c r="H1320" s="32" t="s">
        <v>351</v>
      </c>
    </row>
    <row r="1321" spans="1:9" ht="18.75">
      <c r="A1321" t="s">
        <v>2038</v>
      </c>
      <c r="B1321">
        <v>2</v>
      </c>
      <c r="C1321">
        <v>2025</v>
      </c>
      <c r="D1321" s="54">
        <v>45691</v>
      </c>
      <c r="E1321" s="42" t="s">
        <v>160</v>
      </c>
      <c r="F1321" s="76" t="s">
        <v>40</v>
      </c>
      <c r="G1321" s="52">
        <v>-100</v>
      </c>
      <c r="H1321" s="32" t="s">
        <v>2039</v>
      </c>
    </row>
    <row r="1322" spans="1:9" ht="18.75">
      <c r="A1322" t="s">
        <v>2040</v>
      </c>
      <c r="B1322">
        <v>2</v>
      </c>
      <c r="C1322">
        <v>2025</v>
      </c>
      <c r="D1322" s="54">
        <v>45691</v>
      </c>
      <c r="E1322" s="42" t="s">
        <v>160</v>
      </c>
      <c r="F1322" s="76" t="s">
        <v>40</v>
      </c>
      <c r="G1322" s="52">
        <v>-100</v>
      </c>
      <c r="H1322" s="32" t="s">
        <v>2041</v>
      </c>
    </row>
    <row r="1323" spans="1:9" ht="18.75">
      <c r="A1323" t="s">
        <v>2042</v>
      </c>
      <c r="B1323">
        <v>2</v>
      </c>
      <c r="C1323">
        <v>2025</v>
      </c>
      <c r="D1323" s="54">
        <v>45691</v>
      </c>
      <c r="E1323" s="42" t="s">
        <v>160</v>
      </c>
      <c r="F1323" s="76" t="s">
        <v>40</v>
      </c>
      <c r="G1323" s="52">
        <v>-100</v>
      </c>
      <c r="H1323" s="32" t="s">
        <v>2043</v>
      </c>
      <c r="I1323" s="112"/>
    </row>
    <row r="1324" spans="1:9" ht="18.75">
      <c r="A1324" t="s">
        <v>2044</v>
      </c>
      <c r="B1324">
        <v>2</v>
      </c>
      <c r="C1324">
        <v>2025</v>
      </c>
      <c r="D1324" s="54">
        <v>45692</v>
      </c>
      <c r="E1324" s="42" t="s">
        <v>160</v>
      </c>
      <c r="F1324" s="76" t="s">
        <v>43</v>
      </c>
      <c r="G1324" s="52">
        <v>-9.0299999999999994</v>
      </c>
      <c r="H1324" s="32" t="s">
        <v>163</v>
      </c>
    </row>
    <row r="1325" spans="1:9" ht="18.75">
      <c r="A1325" t="s">
        <v>2045</v>
      </c>
      <c r="B1325">
        <v>2</v>
      </c>
      <c r="C1325">
        <v>2025</v>
      </c>
      <c r="D1325" s="54">
        <v>45693</v>
      </c>
      <c r="E1325" s="42" t="s">
        <v>249</v>
      </c>
      <c r="F1325" s="76" t="s">
        <v>58</v>
      </c>
      <c r="G1325" s="52">
        <v>-22.53</v>
      </c>
      <c r="H1325" s="32" t="s">
        <v>282</v>
      </c>
    </row>
    <row r="1326" spans="1:9" ht="18.75">
      <c r="A1326" t="s">
        <v>2046</v>
      </c>
      <c r="B1326">
        <v>2</v>
      </c>
      <c r="C1326">
        <v>2025</v>
      </c>
      <c r="D1326" s="54">
        <v>45693</v>
      </c>
      <c r="E1326" s="42" t="s">
        <v>249</v>
      </c>
      <c r="F1326" s="76" t="s">
        <v>46</v>
      </c>
      <c r="G1326" s="52">
        <v>-20</v>
      </c>
      <c r="H1326" s="32" t="s">
        <v>268</v>
      </c>
    </row>
    <row r="1327" spans="1:9" ht="18.75">
      <c r="A1327" t="s">
        <v>2047</v>
      </c>
      <c r="B1327">
        <v>2</v>
      </c>
      <c r="C1327">
        <v>2025</v>
      </c>
      <c r="D1327" s="54">
        <v>45693</v>
      </c>
      <c r="E1327" s="42" t="s">
        <v>160</v>
      </c>
      <c r="F1327" s="76" t="s">
        <v>79</v>
      </c>
      <c r="G1327" s="52">
        <v>769.1</v>
      </c>
      <c r="H1327" s="32" t="s">
        <v>2048</v>
      </c>
    </row>
    <row r="1328" spans="1:9" ht="18.75">
      <c r="A1328" t="s">
        <v>2049</v>
      </c>
      <c r="B1328">
        <v>2</v>
      </c>
      <c r="C1328">
        <v>2025</v>
      </c>
      <c r="D1328" s="54">
        <v>45693</v>
      </c>
      <c r="E1328" s="42" t="s">
        <v>160</v>
      </c>
      <c r="F1328" s="76" t="s">
        <v>79</v>
      </c>
      <c r="G1328" s="52">
        <v>-1538.2</v>
      </c>
      <c r="H1328" s="32" t="s">
        <v>2050</v>
      </c>
    </row>
    <row r="1329" spans="1:8" ht="18.75">
      <c r="A1329" t="s">
        <v>2051</v>
      </c>
      <c r="B1329">
        <v>2</v>
      </c>
      <c r="C1329">
        <v>2025</v>
      </c>
      <c r="D1329" s="54">
        <v>45693</v>
      </c>
      <c r="E1329" s="42" t="s">
        <v>146</v>
      </c>
      <c r="F1329" s="76" t="s">
        <v>79</v>
      </c>
      <c r="G1329" s="52">
        <v>1538.2</v>
      </c>
      <c r="H1329" s="32" t="s">
        <v>2052</v>
      </c>
    </row>
    <row r="1330" spans="1:8" ht="18.75">
      <c r="A1330" t="s">
        <v>2053</v>
      </c>
      <c r="B1330">
        <v>2</v>
      </c>
      <c r="C1330">
        <v>2025</v>
      </c>
      <c r="D1330" s="54">
        <v>45693</v>
      </c>
      <c r="E1330" s="42" t="s">
        <v>146</v>
      </c>
      <c r="F1330" s="76" t="s">
        <v>79</v>
      </c>
      <c r="G1330" s="52">
        <v>-769.1</v>
      </c>
      <c r="H1330" s="32" t="s">
        <v>2054</v>
      </c>
    </row>
    <row r="1331" spans="1:8" ht="18.75">
      <c r="A1331" t="s">
        <v>2055</v>
      </c>
      <c r="B1331">
        <v>2</v>
      </c>
      <c r="C1331">
        <v>2025</v>
      </c>
      <c r="D1331" s="54">
        <v>45693</v>
      </c>
      <c r="E1331" s="42" t="s">
        <v>160</v>
      </c>
      <c r="F1331" s="76" t="s">
        <v>30</v>
      </c>
      <c r="G1331" s="52">
        <v>-214.82</v>
      </c>
      <c r="H1331" s="32" t="s">
        <v>196</v>
      </c>
    </row>
    <row r="1332" spans="1:8" ht="18.75">
      <c r="A1332" t="s">
        <v>2056</v>
      </c>
      <c r="B1332">
        <v>2</v>
      </c>
      <c r="C1332">
        <v>2025</v>
      </c>
      <c r="D1332" s="54">
        <v>45693</v>
      </c>
      <c r="E1332" s="42" t="s">
        <v>160</v>
      </c>
      <c r="F1332" s="76" t="s">
        <v>61</v>
      </c>
      <c r="G1332" s="52">
        <v>-300</v>
      </c>
      <c r="H1332" s="32" t="s">
        <v>2057</v>
      </c>
    </row>
    <row r="1333" spans="1:8" ht="18.75">
      <c r="A1333" t="s">
        <v>2058</v>
      </c>
      <c r="B1333">
        <v>2</v>
      </c>
      <c r="C1333">
        <v>2025</v>
      </c>
      <c r="D1333" s="54">
        <v>45693</v>
      </c>
      <c r="E1333" s="42" t="s">
        <v>160</v>
      </c>
      <c r="F1333" s="76" t="s">
        <v>40</v>
      </c>
      <c r="G1333" s="52">
        <v>-100</v>
      </c>
      <c r="H1333" s="32" t="s">
        <v>2059</v>
      </c>
    </row>
    <row r="1334" spans="1:8" ht="18.75">
      <c r="A1334" t="s">
        <v>2060</v>
      </c>
      <c r="B1334">
        <v>2</v>
      </c>
      <c r="C1334">
        <v>2025</v>
      </c>
      <c r="D1334" s="54">
        <v>45695</v>
      </c>
      <c r="E1334" s="42" t="s">
        <v>249</v>
      </c>
      <c r="F1334" s="76" t="s">
        <v>42</v>
      </c>
      <c r="G1334" s="52">
        <v>-25.98</v>
      </c>
      <c r="H1334" s="32" t="s">
        <v>1833</v>
      </c>
    </row>
    <row r="1335" spans="1:8" ht="18.75">
      <c r="A1335" t="s">
        <v>2061</v>
      </c>
      <c r="B1335">
        <v>2</v>
      </c>
      <c r="C1335">
        <v>2025</v>
      </c>
      <c r="D1335" s="54">
        <v>45695</v>
      </c>
      <c r="E1335" s="42" t="s">
        <v>160</v>
      </c>
      <c r="F1335" s="76" t="s">
        <v>33</v>
      </c>
      <c r="G1335" s="52">
        <v>-443.25</v>
      </c>
      <c r="H1335" s="32" t="s">
        <v>169</v>
      </c>
    </row>
    <row r="1336" spans="1:8" ht="18.75">
      <c r="A1336" t="s">
        <v>2062</v>
      </c>
      <c r="B1336">
        <v>2</v>
      </c>
      <c r="C1336">
        <v>2025</v>
      </c>
      <c r="D1336" s="54">
        <v>45696</v>
      </c>
      <c r="E1336" s="42" t="s">
        <v>249</v>
      </c>
      <c r="F1336" s="76" t="s">
        <v>58</v>
      </c>
      <c r="G1336" s="52">
        <v>-3.63</v>
      </c>
      <c r="H1336" s="32" t="s">
        <v>308</v>
      </c>
    </row>
    <row r="1337" spans="1:8" ht="18.75">
      <c r="A1337" t="s">
        <v>2063</v>
      </c>
      <c r="B1337">
        <v>2</v>
      </c>
      <c r="C1337">
        <v>2025</v>
      </c>
      <c r="D1337" s="54">
        <v>45696</v>
      </c>
      <c r="E1337" s="42" t="s">
        <v>249</v>
      </c>
      <c r="F1337" s="76" t="s">
        <v>47</v>
      </c>
      <c r="G1337" s="52">
        <v>-10.16</v>
      </c>
      <c r="H1337" s="32" t="s">
        <v>1172</v>
      </c>
    </row>
    <row r="1338" spans="1:8" ht="18.75">
      <c r="A1338" t="s">
        <v>2064</v>
      </c>
      <c r="B1338">
        <v>2</v>
      </c>
      <c r="C1338">
        <v>2025</v>
      </c>
      <c r="D1338" s="54">
        <v>45696</v>
      </c>
      <c r="E1338" s="42" t="s">
        <v>249</v>
      </c>
      <c r="F1338" s="76" t="s">
        <v>41</v>
      </c>
      <c r="G1338" s="52">
        <v>-34.5</v>
      </c>
      <c r="H1338" s="32" t="s">
        <v>1786</v>
      </c>
    </row>
    <row r="1339" spans="1:8" ht="18.75">
      <c r="A1339" t="s">
        <v>2065</v>
      </c>
      <c r="B1339">
        <v>2</v>
      </c>
      <c r="C1339">
        <v>2025</v>
      </c>
      <c r="D1339" s="54">
        <v>45697</v>
      </c>
      <c r="E1339" s="42" t="s">
        <v>249</v>
      </c>
      <c r="F1339" s="76" t="s">
        <v>57</v>
      </c>
      <c r="G1339" s="52">
        <v>-105.8</v>
      </c>
      <c r="H1339" s="32" t="s">
        <v>2066</v>
      </c>
    </row>
    <row r="1340" spans="1:8" ht="18.75">
      <c r="B1340">
        <v>2</v>
      </c>
      <c r="C1340">
        <v>2025</v>
      </c>
      <c r="D1340" s="54">
        <v>45697</v>
      </c>
      <c r="E1340" s="42" t="s">
        <v>249</v>
      </c>
      <c r="F1340" s="76" t="s">
        <v>47</v>
      </c>
      <c r="G1340" s="52">
        <v>-14</v>
      </c>
      <c r="H1340" s="32" t="s">
        <v>2067</v>
      </c>
    </row>
    <row r="1341" spans="1:8" ht="18.75">
      <c r="A1341" t="s">
        <v>2068</v>
      </c>
      <c r="B1341">
        <v>2</v>
      </c>
      <c r="C1341">
        <v>2025</v>
      </c>
      <c r="D1341" s="54">
        <v>45697</v>
      </c>
      <c r="E1341" s="42" t="s">
        <v>249</v>
      </c>
      <c r="F1341" s="76" t="s">
        <v>41</v>
      </c>
      <c r="G1341" s="52">
        <v>-22.19</v>
      </c>
      <c r="H1341" s="32" t="s">
        <v>1706</v>
      </c>
    </row>
    <row r="1342" spans="1:8" ht="18.75">
      <c r="A1342" t="s">
        <v>2069</v>
      </c>
      <c r="B1342">
        <v>2</v>
      </c>
      <c r="C1342">
        <v>2025</v>
      </c>
      <c r="D1342" s="54">
        <v>45697</v>
      </c>
      <c r="E1342" s="42" t="s">
        <v>249</v>
      </c>
      <c r="F1342" s="76" t="s">
        <v>55</v>
      </c>
      <c r="G1342" s="52">
        <v>-69.959999999999994</v>
      </c>
      <c r="H1342" s="32" t="s">
        <v>282</v>
      </c>
    </row>
    <row r="1343" spans="1:8" ht="18.75">
      <c r="A1343" t="s">
        <v>2070</v>
      </c>
      <c r="B1343">
        <v>2</v>
      </c>
      <c r="C1343">
        <v>2025</v>
      </c>
      <c r="D1343" s="54">
        <v>45697</v>
      </c>
      <c r="E1343" s="42" t="s">
        <v>249</v>
      </c>
      <c r="F1343" s="76" t="s">
        <v>50</v>
      </c>
      <c r="G1343" s="52">
        <f>-61.7+14</f>
        <v>-47.7</v>
      </c>
      <c r="H1343" s="32" t="s">
        <v>2067</v>
      </c>
    </row>
    <row r="1344" spans="1:8" ht="18.75">
      <c r="A1344" t="s">
        <v>2071</v>
      </c>
      <c r="B1344">
        <v>2</v>
      </c>
      <c r="C1344">
        <v>2025</v>
      </c>
      <c r="D1344" s="54">
        <v>45698</v>
      </c>
      <c r="E1344" s="42" t="s">
        <v>249</v>
      </c>
      <c r="F1344" s="76" t="s">
        <v>45</v>
      </c>
      <c r="G1344" s="52">
        <v>-33.89</v>
      </c>
      <c r="H1344" s="32" t="s">
        <v>1521</v>
      </c>
    </row>
    <row r="1345" spans="1:9" ht="18.75">
      <c r="A1345" t="s">
        <v>2072</v>
      </c>
      <c r="B1345">
        <v>2</v>
      </c>
      <c r="C1345">
        <v>2025</v>
      </c>
      <c r="D1345" s="54">
        <v>45698</v>
      </c>
      <c r="E1345" s="42" t="s">
        <v>160</v>
      </c>
      <c r="F1345" s="76" t="s">
        <v>36</v>
      </c>
      <c r="G1345" s="52">
        <v>-66.64</v>
      </c>
      <c r="H1345" s="32" t="s">
        <v>2073</v>
      </c>
    </row>
    <row r="1346" spans="1:9" ht="18.75">
      <c r="A1346" t="s">
        <v>2074</v>
      </c>
      <c r="B1346">
        <v>2</v>
      </c>
      <c r="C1346">
        <v>2025</v>
      </c>
      <c r="D1346" s="54">
        <v>45698</v>
      </c>
      <c r="E1346" s="42" t="s">
        <v>160</v>
      </c>
      <c r="F1346" s="76" t="s">
        <v>51</v>
      </c>
      <c r="G1346" s="52">
        <v>-125.87</v>
      </c>
      <c r="H1346" s="32" t="s">
        <v>199</v>
      </c>
    </row>
    <row r="1347" spans="1:9" ht="18.75">
      <c r="A1347" t="s">
        <v>2075</v>
      </c>
      <c r="B1347">
        <v>2</v>
      </c>
      <c r="C1347">
        <v>2025</v>
      </c>
      <c r="D1347" s="54">
        <v>45698</v>
      </c>
      <c r="E1347" s="42" t="s">
        <v>249</v>
      </c>
      <c r="F1347" s="76" t="s">
        <v>35</v>
      </c>
      <c r="G1347" s="52">
        <v>-88.14</v>
      </c>
      <c r="H1347" s="32" t="s">
        <v>285</v>
      </c>
    </row>
    <row r="1348" spans="1:9" ht="18.75">
      <c r="A1348" t="s">
        <v>2076</v>
      </c>
      <c r="B1348">
        <v>2</v>
      </c>
      <c r="C1348">
        <v>2025</v>
      </c>
      <c r="D1348" s="54">
        <v>45698</v>
      </c>
      <c r="E1348" s="42" t="s">
        <v>160</v>
      </c>
      <c r="F1348" s="76" t="s">
        <v>79</v>
      </c>
      <c r="G1348" s="52">
        <v>40</v>
      </c>
      <c r="H1348" s="32" t="s">
        <v>2077</v>
      </c>
    </row>
    <row r="1349" spans="1:9" ht="18.75">
      <c r="A1349" t="s">
        <v>2078</v>
      </c>
      <c r="B1349">
        <v>2</v>
      </c>
      <c r="C1349">
        <v>2025</v>
      </c>
      <c r="D1349" s="54">
        <v>45698</v>
      </c>
      <c r="E1349" s="42" t="s">
        <v>146</v>
      </c>
      <c r="F1349" s="76" t="s">
        <v>79</v>
      </c>
      <c r="G1349" s="52">
        <v>-40</v>
      </c>
      <c r="H1349" s="32" t="s">
        <v>390</v>
      </c>
    </row>
    <row r="1350" spans="1:9" ht="18.75">
      <c r="A1350" t="s">
        <v>2079</v>
      </c>
      <c r="B1350">
        <v>2</v>
      </c>
      <c r="C1350">
        <v>2025</v>
      </c>
      <c r="D1350" s="54">
        <v>45698</v>
      </c>
      <c r="E1350" s="42" t="s">
        <v>160</v>
      </c>
      <c r="F1350" s="76" t="s">
        <v>47</v>
      </c>
      <c r="G1350" s="52">
        <v>-40</v>
      </c>
      <c r="H1350" s="32" t="s">
        <v>2080</v>
      </c>
      <c r="I1350" s="32" t="s">
        <v>2081</v>
      </c>
    </row>
    <row r="1351" spans="1:9" ht="18.75">
      <c r="A1351" t="s">
        <v>2082</v>
      </c>
      <c r="B1351">
        <v>2</v>
      </c>
      <c r="C1351">
        <v>2025</v>
      </c>
      <c r="D1351" s="54">
        <v>45699</v>
      </c>
      <c r="E1351" s="42" t="s">
        <v>249</v>
      </c>
      <c r="F1351" s="76" t="s">
        <v>58</v>
      </c>
      <c r="G1351" s="52">
        <v>-1.5</v>
      </c>
      <c r="H1351" s="32" t="s">
        <v>525</v>
      </c>
    </row>
    <row r="1352" spans="1:9" ht="18.75">
      <c r="A1352" t="s">
        <v>2083</v>
      </c>
      <c r="B1352">
        <v>2</v>
      </c>
      <c r="C1352">
        <v>2025</v>
      </c>
      <c r="D1352" s="54">
        <v>45700</v>
      </c>
      <c r="E1352" s="42" t="s">
        <v>160</v>
      </c>
      <c r="F1352" s="76" t="s">
        <v>79</v>
      </c>
      <c r="G1352" s="52">
        <v>2232.42</v>
      </c>
      <c r="H1352" s="32" t="s">
        <v>1655</v>
      </c>
    </row>
    <row r="1353" spans="1:9" ht="18.75">
      <c r="A1353" t="s">
        <v>2084</v>
      </c>
      <c r="B1353">
        <v>2</v>
      </c>
      <c r="C1353">
        <v>2025</v>
      </c>
      <c r="D1353" s="54">
        <v>45701</v>
      </c>
      <c r="E1353" s="42" t="s">
        <v>160</v>
      </c>
      <c r="F1353" s="76" t="s">
        <v>79</v>
      </c>
      <c r="G1353" s="52">
        <v>1281.69</v>
      </c>
      <c r="H1353" s="32" t="s">
        <v>190</v>
      </c>
    </row>
    <row r="1354" spans="1:9" ht="18.75">
      <c r="A1354" t="s">
        <v>2085</v>
      </c>
      <c r="B1354">
        <v>2</v>
      </c>
      <c r="C1354">
        <v>2025</v>
      </c>
      <c r="D1354" s="54">
        <v>45701</v>
      </c>
      <c r="E1354" s="42" t="s">
        <v>249</v>
      </c>
      <c r="F1354" s="76" t="s">
        <v>54</v>
      </c>
      <c r="G1354" s="52">
        <v>-5.58</v>
      </c>
      <c r="H1354" s="32" t="s">
        <v>1378</v>
      </c>
    </row>
    <row r="1355" spans="1:9" ht="18.75">
      <c r="A1355" t="s">
        <v>2086</v>
      </c>
      <c r="B1355">
        <v>2</v>
      </c>
      <c r="C1355">
        <v>2025</v>
      </c>
      <c r="D1355" s="54">
        <v>45701</v>
      </c>
      <c r="E1355" s="42" t="s">
        <v>249</v>
      </c>
      <c r="F1355" s="76" t="s">
        <v>41</v>
      </c>
      <c r="G1355" s="52">
        <v>-46.77</v>
      </c>
      <c r="H1355" s="32" t="s">
        <v>1826</v>
      </c>
    </row>
    <row r="1356" spans="1:9" ht="18.75">
      <c r="A1356" t="s">
        <v>2087</v>
      </c>
      <c r="B1356">
        <v>2</v>
      </c>
      <c r="C1356">
        <v>2025</v>
      </c>
      <c r="D1356" s="54">
        <v>45702</v>
      </c>
      <c r="E1356" s="42" t="s">
        <v>249</v>
      </c>
      <c r="F1356" s="76" t="s">
        <v>41</v>
      </c>
      <c r="G1356" s="52">
        <v>-3.8</v>
      </c>
      <c r="H1356" s="32" t="s">
        <v>1219</v>
      </c>
    </row>
    <row r="1357" spans="1:9" ht="18.75">
      <c r="A1357" t="s">
        <v>2088</v>
      </c>
      <c r="B1357">
        <v>2</v>
      </c>
      <c r="C1357">
        <v>2025</v>
      </c>
      <c r="D1357" s="54">
        <v>45702</v>
      </c>
      <c r="E1357" s="42" t="s">
        <v>249</v>
      </c>
      <c r="F1357" s="76" t="s">
        <v>32</v>
      </c>
      <c r="G1357" s="52">
        <v>-53.39</v>
      </c>
      <c r="H1357" s="32" t="s">
        <v>2089</v>
      </c>
    </row>
    <row r="1358" spans="1:9" ht="18.75">
      <c r="A1358" t="s">
        <v>2090</v>
      </c>
      <c r="B1358">
        <v>2</v>
      </c>
      <c r="C1358">
        <v>2025</v>
      </c>
      <c r="D1358" s="54">
        <v>45703</v>
      </c>
      <c r="E1358" s="42" t="s">
        <v>249</v>
      </c>
      <c r="F1358" s="76" t="s">
        <v>39</v>
      </c>
      <c r="G1358" s="52">
        <v>-125.43</v>
      </c>
      <c r="H1358" s="32" t="s">
        <v>304</v>
      </c>
    </row>
    <row r="1359" spans="1:9" ht="18.75">
      <c r="A1359" t="s">
        <v>2091</v>
      </c>
      <c r="B1359">
        <v>2</v>
      </c>
      <c r="C1359">
        <v>2025</v>
      </c>
      <c r="D1359" s="54">
        <v>45703</v>
      </c>
      <c r="E1359" s="42" t="s">
        <v>249</v>
      </c>
      <c r="F1359" s="76" t="s">
        <v>54</v>
      </c>
      <c r="G1359" s="52">
        <v>-29.25</v>
      </c>
      <c r="H1359" s="32" t="s">
        <v>348</v>
      </c>
    </row>
    <row r="1360" spans="1:9" ht="18.75">
      <c r="A1360" t="s">
        <v>2092</v>
      </c>
      <c r="B1360">
        <v>2</v>
      </c>
      <c r="C1360">
        <v>2025</v>
      </c>
      <c r="D1360" s="54">
        <v>45704</v>
      </c>
      <c r="E1360" s="42" t="s">
        <v>249</v>
      </c>
      <c r="F1360" s="76" t="s">
        <v>59</v>
      </c>
      <c r="G1360" s="52">
        <v>-1.66</v>
      </c>
      <c r="H1360" s="32" t="s">
        <v>1784</v>
      </c>
    </row>
    <row r="1361" spans="1:8" ht="18.75">
      <c r="A1361" t="s">
        <v>2093</v>
      </c>
      <c r="B1361">
        <v>3</v>
      </c>
      <c r="C1361">
        <v>2025</v>
      </c>
      <c r="D1361" s="54">
        <v>45719</v>
      </c>
      <c r="E1361" s="42" t="s">
        <v>160</v>
      </c>
      <c r="F1361" s="76" t="s">
        <v>49</v>
      </c>
      <c r="G1361" s="52">
        <v>-50</v>
      </c>
      <c r="H1361" s="32" t="s">
        <v>173</v>
      </c>
    </row>
    <row r="1362" spans="1:8" ht="18.75">
      <c r="A1362" t="s">
        <v>2094</v>
      </c>
      <c r="B1362">
        <v>2</v>
      </c>
      <c r="C1362">
        <v>2025</v>
      </c>
      <c r="D1362" s="54">
        <v>45705</v>
      </c>
      <c r="E1362" s="42" t="s">
        <v>160</v>
      </c>
      <c r="F1362" s="76" t="s">
        <v>51</v>
      </c>
      <c r="G1362" s="52">
        <v>-125.57</v>
      </c>
      <c r="H1362" s="32" t="s">
        <v>210</v>
      </c>
    </row>
    <row r="1363" spans="1:8" ht="18.75">
      <c r="A1363" t="s">
        <v>2095</v>
      </c>
      <c r="B1363">
        <v>2</v>
      </c>
      <c r="C1363">
        <v>2025</v>
      </c>
      <c r="D1363" s="54">
        <v>45705</v>
      </c>
      <c r="E1363" s="42" t="s">
        <v>160</v>
      </c>
      <c r="F1363" s="76" t="s">
        <v>64</v>
      </c>
      <c r="G1363" s="52">
        <v>-287</v>
      </c>
      <c r="H1363" s="32" t="s">
        <v>208</v>
      </c>
    </row>
    <row r="1364" spans="1:8" ht="18.75">
      <c r="A1364" t="s">
        <v>2096</v>
      </c>
      <c r="B1364">
        <v>2</v>
      </c>
      <c r="C1364">
        <v>2025</v>
      </c>
      <c r="D1364" s="54">
        <v>45706</v>
      </c>
      <c r="E1364" s="42" t="s">
        <v>249</v>
      </c>
      <c r="F1364" s="76" t="s">
        <v>79</v>
      </c>
      <c r="G1364" s="52">
        <v>3949.39</v>
      </c>
      <c r="H1364" s="32" t="s">
        <v>1755</v>
      </c>
    </row>
    <row r="1365" spans="1:8" ht="18.75">
      <c r="A1365" t="s">
        <v>2097</v>
      </c>
      <c r="B1365">
        <v>2</v>
      </c>
      <c r="C1365">
        <v>2025</v>
      </c>
      <c r="D1365" s="54">
        <v>45706</v>
      </c>
      <c r="E1365" s="42" t="s">
        <v>160</v>
      </c>
      <c r="F1365" s="76" t="s">
        <v>60</v>
      </c>
      <c r="G1365" s="52">
        <v>-87</v>
      </c>
      <c r="H1365" s="32" t="s">
        <v>212</v>
      </c>
    </row>
    <row r="1366" spans="1:8" ht="18.75">
      <c r="A1366" t="s">
        <v>2098</v>
      </c>
      <c r="B1366">
        <v>2</v>
      </c>
      <c r="C1366">
        <v>2025</v>
      </c>
      <c r="D1366" s="54">
        <v>45706</v>
      </c>
      <c r="E1366" s="42" t="s">
        <v>160</v>
      </c>
      <c r="F1366" s="76" t="s">
        <v>43</v>
      </c>
      <c r="G1366" s="52">
        <v>-9.0299999999999994</v>
      </c>
      <c r="H1366" s="32" t="s">
        <v>163</v>
      </c>
    </row>
    <row r="1367" spans="1:8" ht="18.75">
      <c r="A1367" t="s">
        <v>2099</v>
      </c>
      <c r="B1367">
        <v>2</v>
      </c>
      <c r="C1367">
        <v>2025</v>
      </c>
      <c r="D1367" s="54">
        <v>45706</v>
      </c>
      <c r="E1367" s="42" t="s">
        <v>249</v>
      </c>
      <c r="F1367" s="76" t="s">
        <v>54</v>
      </c>
      <c r="G1367" s="52">
        <v>-35.9</v>
      </c>
      <c r="H1367" s="32" t="s">
        <v>2100</v>
      </c>
    </row>
    <row r="1368" spans="1:8" ht="18.75">
      <c r="A1368" t="s">
        <v>2101</v>
      </c>
      <c r="B1368">
        <v>2</v>
      </c>
      <c r="C1368">
        <v>2025</v>
      </c>
      <c r="D1368" s="54">
        <v>45707</v>
      </c>
      <c r="E1368" s="42" t="s">
        <v>249</v>
      </c>
      <c r="F1368" s="76" t="s">
        <v>58</v>
      </c>
      <c r="G1368" s="52">
        <v>-18.07</v>
      </c>
      <c r="H1368" s="32" t="s">
        <v>2102</v>
      </c>
    </row>
    <row r="1369" spans="1:8" ht="18.75">
      <c r="A1369" t="s">
        <v>2103</v>
      </c>
      <c r="B1369">
        <v>2</v>
      </c>
      <c r="C1369">
        <v>2025</v>
      </c>
      <c r="D1369" s="54">
        <v>45707</v>
      </c>
      <c r="E1369" s="42" t="s">
        <v>160</v>
      </c>
      <c r="F1369" s="76" t="s">
        <v>79</v>
      </c>
      <c r="G1369" s="52">
        <v>-3949.39</v>
      </c>
      <c r="H1369" s="32" t="s">
        <v>214</v>
      </c>
    </row>
    <row r="1370" spans="1:8" ht="18.75">
      <c r="A1370" t="s">
        <v>2104</v>
      </c>
      <c r="B1370">
        <v>2</v>
      </c>
      <c r="C1370">
        <v>2025</v>
      </c>
      <c r="D1370" s="54">
        <v>45707</v>
      </c>
      <c r="E1370" s="42" t="s">
        <v>249</v>
      </c>
      <c r="F1370" s="76" t="s">
        <v>57</v>
      </c>
      <c r="G1370" s="52">
        <v>-141.97</v>
      </c>
      <c r="H1370" s="32" t="s">
        <v>282</v>
      </c>
    </row>
    <row r="1371" spans="1:8" ht="18.75">
      <c r="A1371" t="s">
        <v>2105</v>
      </c>
      <c r="B1371">
        <v>2</v>
      </c>
      <c r="C1371">
        <v>2025</v>
      </c>
      <c r="D1371" s="54">
        <v>45708</v>
      </c>
      <c r="E1371" s="42" t="s">
        <v>249</v>
      </c>
      <c r="F1371" s="76" t="s">
        <v>57</v>
      </c>
      <c r="G1371" s="52">
        <v>-31.63</v>
      </c>
      <c r="H1371" s="32" t="s">
        <v>2106</v>
      </c>
    </row>
    <row r="1372" spans="1:8" ht="18.75">
      <c r="A1372" t="s">
        <v>2107</v>
      </c>
      <c r="B1372">
        <v>2</v>
      </c>
      <c r="C1372">
        <v>2025</v>
      </c>
      <c r="D1372" s="54">
        <v>45709</v>
      </c>
      <c r="E1372" s="42" t="s">
        <v>249</v>
      </c>
      <c r="F1372" s="76" t="s">
        <v>58</v>
      </c>
      <c r="G1372" s="52">
        <v>-48.13</v>
      </c>
      <c r="H1372" s="32" t="s">
        <v>2108</v>
      </c>
    </row>
    <row r="1373" spans="1:8" ht="18.75">
      <c r="A1373" t="s">
        <v>2109</v>
      </c>
      <c r="B1373">
        <v>2</v>
      </c>
      <c r="C1373">
        <v>2025</v>
      </c>
      <c r="D1373" s="54">
        <v>45709</v>
      </c>
      <c r="E1373" s="42" t="s">
        <v>160</v>
      </c>
      <c r="F1373" s="76" t="s">
        <v>33</v>
      </c>
      <c r="G1373" s="52">
        <v>-443.25</v>
      </c>
      <c r="H1373" s="32" t="s">
        <v>169</v>
      </c>
    </row>
    <row r="1374" spans="1:8" ht="18.75">
      <c r="A1374" t="s">
        <v>2110</v>
      </c>
      <c r="B1374">
        <v>2</v>
      </c>
      <c r="C1374">
        <v>2025</v>
      </c>
      <c r="D1374" s="54">
        <v>45709</v>
      </c>
      <c r="E1374" s="42" t="s">
        <v>160</v>
      </c>
      <c r="F1374" s="76" t="s">
        <v>63</v>
      </c>
      <c r="G1374" s="52">
        <v>-104.57</v>
      </c>
      <c r="H1374" s="32" t="s">
        <v>224</v>
      </c>
    </row>
    <row r="1375" spans="1:8" ht="18.75">
      <c r="A1375" t="s">
        <v>2111</v>
      </c>
      <c r="B1375">
        <v>2</v>
      </c>
      <c r="C1375">
        <v>2025</v>
      </c>
      <c r="D1375" s="54">
        <v>45709</v>
      </c>
      <c r="E1375" s="42" t="s">
        <v>249</v>
      </c>
      <c r="F1375" s="76" t="s">
        <v>54</v>
      </c>
      <c r="G1375" s="52">
        <v>-2.19</v>
      </c>
      <c r="H1375" s="32" t="s">
        <v>1378</v>
      </c>
    </row>
    <row r="1376" spans="1:8" ht="18.75">
      <c r="A1376" t="s">
        <v>2112</v>
      </c>
      <c r="B1376">
        <v>2</v>
      </c>
      <c r="C1376">
        <v>2025</v>
      </c>
      <c r="D1376" s="54">
        <v>45710</v>
      </c>
      <c r="E1376" s="42" t="s">
        <v>249</v>
      </c>
      <c r="F1376" s="76" t="s">
        <v>54</v>
      </c>
      <c r="G1376" s="52">
        <v>-17.84</v>
      </c>
      <c r="H1376" s="32" t="s">
        <v>1989</v>
      </c>
    </row>
    <row r="1377" spans="1:8" ht="18.75">
      <c r="A1377" t="s">
        <v>2113</v>
      </c>
      <c r="B1377">
        <v>2</v>
      </c>
      <c r="C1377">
        <v>2025</v>
      </c>
      <c r="D1377" s="54">
        <v>45711</v>
      </c>
      <c r="E1377" s="42" t="s">
        <v>249</v>
      </c>
      <c r="F1377" s="76" t="s">
        <v>58</v>
      </c>
      <c r="G1377" s="52">
        <v>-1.98</v>
      </c>
      <c r="H1377" s="32" t="s">
        <v>2114</v>
      </c>
    </row>
    <row r="1378" spans="1:8" ht="18.75">
      <c r="A1378" t="s">
        <v>2115</v>
      </c>
      <c r="B1378">
        <v>2</v>
      </c>
      <c r="C1378">
        <v>2025</v>
      </c>
      <c r="D1378" s="54">
        <v>45711</v>
      </c>
      <c r="E1378" s="42" t="s">
        <v>249</v>
      </c>
      <c r="F1378" s="76" t="s">
        <v>52</v>
      </c>
      <c r="G1378" s="52">
        <v>-34.92</v>
      </c>
      <c r="H1378" s="32" t="s">
        <v>282</v>
      </c>
    </row>
    <row r="1379" spans="1:8" ht="18.75">
      <c r="B1379">
        <v>2</v>
      </c>
      <c r="C1379">
        <v>2025</v>
      </c>
      <c r="D1379" s="54">
        <v>45711</v>
      </c>
      <c r="E1379" s="42" t="s">
        <v>249</v>
      </c>
      <c r="F1379" s="76" t="s">
        <v>47</v>
      </c>
      <c r="G1379" s="52">
        <v>-20</v>
      </c>
      <c r="H1379" s="32" t="s">
        <v>727</v>
      </c>
    </row>
    <row r="1380" spans="1:8" ht="18.75">
      <c r="A1380" t="s">
        <v>2116</v>
      </c>
      <c r="B1380">
        <v>2</v>
      </c>
      <c r="C1380">
        <v>2025</v>
      </c>
      <c r="D1380" s="54">
        <v>45711</v>
      </c>
      <c r="E1380" s="42" t="s">
        <v>249</v>
      </c>
      <c r="F1380" s="76" t="s">
        <v>44</v>
      </c>
      <c r="G1380" s="52">
        <v>-67.73</v>
      </c>
      <c r="H1380" s="32" t="s">
        <v>282</v>
      </c>
    </row>
    <row r="1381" spans="1:8" ht="18.75">
      <c r="A1381" t="s">
        <v>2117</v>
      </c>
      <c r="B1381">
        <v>2</v>
      </c>
      <c r="C1381">
        <v>2025</v>
      </c>
      <c r="D1381" s="54">
        <v>45711</v>
      </c>
      <c r="E1381" s="42" t="s">
        <v>249</v>
      </c>
      <c r="F1381" s="76" t="s">
        <v>55</v>
      </c>
      <c r="G1381" s="52">
        <v>-44.83</v>
      </c>
      <c r="H1381" s="32" t="s">
        <v>356</v>
      </c>
    </row>
    <row r="1382" spans="1:8" ht="18.75">
      <c r="A1382" t="s">
        <v>2118</v>
      </c>
      <c r="B1382">
        <v>2</v>
      </c>
      <c r="C1382">
        <v>2025</v>
      </c>
      <c r="D1382" s="54">
        <v>45711</v>
      </c>
      <c r="E1382" s="42" t="s">
        <v>249</v>
      </c>
      <c r="F1382" s="76" t="s">
        <v>50</v>
      </c>
      <c r="G1382" s="52">
        <f>-255.4+20</f>
        <v>-235.4</v>
      </c>
      <c r="H1382" s="32" t="s">
        <v>727</v>
      </c>
    </row>
    <row r="1383" spans="1:8" ht="18.75">
      <c r="A1383" t="s">
        <v>2119</v>
      </c>
      <c r="B1383">
        <v>2</v>
      </c>
      <c r="C1383">
        <v>2025</v>
      </c>
      <c r="D1383" s="54">
        <v>45712</v>
      </c>
      <c r="E1383" s="42" t="s">
        <v>249</v>
      </c>
      <c r="F1383" s="76" t="s">
        <v>55</v>
      </c>
      <c r="G1383" s="52">
        <v>-211.82</v>
      </c>
      <c r="H1383" s="32" t="s">
        <v>2120</v>
      </c>
    </row>
    <row r="1384" spans="1:8" ht="18.75">
      <c r="A1384" t="s">
        <v>2121</v>
      </c>
      <c r="B1384">
        <v>2</v>
      </c>
      <c r="C1384">
        <v>2025</v>
      </c>
      <c r="D1384" s="54">
        <v>45713</v>
      </c>
      <c r="E1384" s="42" t="s">
        <v>160</v>
      </c>
      <c r="F1384" s="76" t="s">
        <v>48</v>
      </c>
      <c r="G1384" s="52">
        <v>-4</v>
      </c>
      <c r="H1384" s="32" t="s">
        <v>228</v>
      </c>
    </row>
    <row r="1385" spans="1:8" ht="18.75">
      <c r="A1385" t="s">
        <v>2122</v>
      </c>
      <c r="B1385">
        <v>2</v>
      </c>
      <c r="C1385">
        <v>2025</v>
      </c>
      <c r="D1385" s="54">
        <v>45713</v>
      </c>
      <c r="E1385" s="42" t="s">
        <v>160</v>
      </c>
      <c r="F1385" s="76" t="s">
        <v>48</v>
      </c>
      <c r="G1385" s="52">
        <v>-10</v>
      </c>
      <c r="H1385" s="32" t="s">
        <v>230</v>
      </c>
    </row>
    <row r="1386" spans="1:8" ht="18.75">
      <c r="A1386" t="s">
        <v>2123</v>
      </c>
      <c r="B1386">
        <v>2</v>
      </c>
      <c r="C1386">
        <v>2025</v>
      </c>
      <c r="D1386" s="54">
        <v>45713</v>
      </c>
      <c r="E1386" s="42" t="s">
        <v>249</v>
      </c>
      <c r="F1386" s="76" t="s">
        <v>32</v>
      </c>
      <c r="G1386" s="52">
        <v>-33.33</v>
      </c>
      <c r="H1386" s="32" t="s">
        <v>1572</v>
      </c>
    </row>
    <row r="1387" spans="1:8" ht="18.75">
      <c r="A1387" t="s">
        <v>2124</v>
      </c>
      <c r="B1387">
        <v>2</v>
      </c>
      <c r="C1387">
        <v>2025</v>
      </c>
      <c r="D1387" s="54">
        <v>45714</v>
      </c>
      <c r="E1387" s="42" t="s">
        <v>249</v>
      </c>
      <c r="F1387" s="76" t="s">
        <v>34</v>
      </c>
      <c r="G1387" s="52">
        <f>-91.15+20</f>
        <v>-71.150000000000006</v>
      </c>
      <c r="H1387" s="32" t="s">
        <v>351</v>
      </c>
    </row>
    <row r="1388" spans="1:8" ht="18.75">
      <c r="A1388" t="s">
        <v>2125</v>
      </c>
      <c r="B1388">
        <v>2</v>
      </c>
      <c r="C1388">
        <v>2025</v>
      </c>
      <c r="D1388" s="54">
        <v>45714</v>
      </c>
      <c r="E1388" s="42" t="s">
        <v>160</v>
      </c>
      <c r="F1388" s="76" t="s">
        <v>79</v>
      </c>
      <c r="G1388" s="52">
        <v>2260.42</v>
      </c>
      <c r="H1388" s="32" t="s">
        <v>1655</v>
      </c>
    </row>
    <row r="1389" spans="1:8" ht="18.75">
      <c r="B1389">
        <v>2</v>
      </c>
      <c r="C1389">
        <v>2025</v>
      </c>
      <c r="D1389" s="54">
        <v>45714</v>
      </c>
      <c r="E1389" s="42" t="s">
        <v>249</v>
      </c>
      <c r="F1389" s="76" t="s">
        <v>57</v>
      </c>
      <c r="G1389" s="52">
        <v>-20</v>
      </c>
      <c r="H1389" s="32" t="s">
        <v>351</v>
      </c>
    </row>
    <row r="1390" spans="1:8" ht="18.75">
      <c r="A1390" t="s">
        <v>2126</v>
      </c>
      <c r="B1390">
        <v>2</v>
      </c>
      <c r="C1390">
        <v>2025</v>
      </c>
      <c r="D1390" s="54">
        <v>45715</v>
      </c>
      <c r="E1390" s="42" t="s">
        <v>249</v>
      </c>
      <c r="F1390" s="76" t="s">
        <v>58</v>
      </c>
      <c r="G1390" s="52">
        <v>-18.739999999999998</v>
      </c>
      <c r="H1390" s="32" t="s">
        <v>2127</v>
      </c>
    </row>
    <row r="1391" spans="1:8" ht="18.75">
      <c r="A1391" t="s">
        <v>2128</v>
      </c>
      <c r="B1391">
        <v>2</v>
      </c>
      <c r="C1391">
        <v>2025</v>
      </c>
      <c r="D1391" s="54">
        <v>45715</v>
      </c>
      <c r="E1391" s="42" t="s">
        <v>160</v>
      </c>
      <c r="F1391" s="76" t="s">
        <v>79</v>
      </c>
      <c r="G1391" s="52">
        <v>1281.69</v>
      </c>
      <c r="H1391" s="32" t="s">
        <v>190</v>
      </c>
    </row>
    <row r="1392" spans="1:8" ht="18.75">
      <c r="A1392" t="s">
        <v>2129</v>
      </c>
      <c r="B1392">
        <v>2</v>
      </c>
      <c r="C1392">
        <v>2025</v>
      </c>
      <c r="D1392" s="54">
        <v>45716</v>
      </c>
      <c r="E1392" s="42" t="s">
        <v>249</v>
      </c>
      <c r="F1392" s="76" t="s">
        <v>66</v>
      </c>
      <c r="G1392" s="52">
        <v>-1.5</v>
      </c>
      <c r="H1392" s="32" t="s">
        <v>616</v>
      </c>
    </row>
    <row r="1393" spans="1:8" ht="18.75">
      <c r="A1393" t="s">
        <v>2130</v>
      </c>
      <c r="B1393">
        <v>2</v>
      </c>
      <c r="C1393">
        <v>2025</v>
      </c>
      <c r="D1393" s="54">
        <v>45716</v>
      </c>
      <c r="E1393" s="42" t="s">
        <v>249</v>
      </c>
      <c r="F1393" s="76" t="s">
        <v>59</v>
      </c>
      <c r="G1393" s="52">
        <v>-15</v>
      </c>
      <c r="H1393" s="32" t="s">
        <v>616</v>
      </c>
    </row>
    <row r="1394" spans="1:8" ht="18.75">
      <c r="A1394" t="s">
        <v>2131</v>
      </c>
      <c r="B1394">
        <v>3</v>
      </c>
      <c r="C1394">
        <v>2025</v>
      </c>
      <c r="D1394" s="54">
        <v>45717</v>
      </c>
      <c r="E1394" s="42" t="s">
        <v>249</v>
      </c>
      <c r="F1394" s="76" t="s">
        <v>50</v>
      </c>
      <c r="G1394" s="52">
        <v>-117.95</v>
      </c>
      <c r="H1394" s="32" t="s">
        <v>2132</v>
      </c>
    </row>
    <row r="1395" spans="1:8" ht="18.75">
      <c r="A1395" t="s">
        <v>2133</v>
      </c>
      <c r="B1395">
        <v>3</v>
      </c>
      <c r="C1395">
        <v>2025</v>
      </c>
      <c r="D1395" s="54">
        <v>45718</v>
      </c>
      <c r="E1395" s="42" t="s">
        <v>249</v>
      </c>
      <c r="F1395" s="76" t="s">
        <v>32</v>
      </c>
      <c r="G1395" s="52">
        <v>-30.3</v>
      </c>
      <c r="H1395" s="32" t="s">
        <v>2134</v>
      </c>
    </row>
    <row r="1396" spans="1:8" ht="18.75">
      <c r="A1396" t="s">
        <v>2135</v>
      </c>
      <c r="B1396">
        <v>3</v>
      </c>
      <c r="C1396">
        <v>2025</v>
      </c>
      <c r="D1396" s="54">
        <v>45719</v>
      </c>
      <c r="E1396" s="42" t="s">
        <v>160</v>
      </c>
      <c r="F1396" s="76" t="s">
        <v>49</v>
      </c>
      <c r="G1396" s="52">
        <v>-50</v>
      </c>
      <c r="H1396" s="32" t="s">
        <v>161</v>
      </c>
    </row>
    <row r="1397" spans="1:8" ht="18.75">
      <c r="A1397" t="s">
        <v>2136</v>
      </c>
      <c r="B1397">
        <v>3</v>
      </c>
      <c r="C1397">
        <v>2025</v>
      </c>
      <c r="D1397" s="54">
        <v>45733</v>
      </c>
      <c r="E1397" s="42" t="s">
        <v>160</v>
      </c>
      <c r="F1397" s="76" t="s">
        <v>49</v>
      </c>
      <c r="G1397" s="52">
        <v>-50</v>
      </c>
      <c r="H1397" s="32" t="s">
        <v>161</v>
      </c>
    </row>
    <row r="1398" spans="1:8" ht="18.75">
      <c r="A1398" t="s">
        <v>2137</v>
      </c>
      <c r="B1398">
        <v>3</v>
      </c>
      <c r="C1398">
        <v>2025</v>
      </c>
      <c r="D1398" s="54">
        <v>45719</v>
      </c>
      <c r="E1398" s="42" t="s">
        <v>146</v>
      </c>
      <c r="F1398" s="76" t="s">
        <v>48</v>
      </c>
      <c r="G1398" s="52">
        <v>4.29</v>
      </c>
      <c r="H1398" s="32" t="s">
        <v>175</v>
      </c>
    </row>
    <row r="1399" spans="1:8" ht="18.75">
      <c r="A1399" t="s">
        <v>2138</v>
      </c>
      <c r="B1399">
        <v>3</v>
      </c>
      <c r="C1399">
        <v>2025</v>
      </c>
      <c r="D1399" s="54">
        <v>45719</v>
      </c>
      <c r="E1399" s="42" t="s">
        <v>160</v>
      </c>
      <c r="F1399" s="76" t="s">
        <v>79</v>
      </c>
      <c r="G1399" s="52">
        <v>-2492.83</v>
      </c>
      <c r="H1399" s="32" t="s">
        <v>2139</v>
      </c>
    </row>
    <row r="1400" spans="1:8" ht="18.75">
      <c r="A1400" t="s">
        <v>2140</v>
      </c>
      <c r="B1400">
        <v>3</v>
      </c>
      <c r="C1400">
        <v>2025</v>
      </c>
      <c r="D1400" s="54">
        <v>45719</v>
      </c>
      <c r="E1400" s="42" t="s">
        <v>146</v>
      </c>
      <c r="F1400" s="76" t="s">
        <v>79</v>
      </c>
      <c r="G1400" s="52">
        <v>2492.83</v>
      </c>
      <c r="H1400" s="32" t="s">
        <v>2141</v>
      </c>
    </row>
    <row r="1401" spans="1:8" ht="18.75">
      <c r="A1401" t="s">
        <v>2142</v>
      </c>
      <c r="B1401">
        <v>3</v>
      </c>
      <c r="C1401">
        <v>2025</v>
      </c>
      <c r="D1401" s="54">
        <v>45719</v>
      </c>
      <c r="E1401" s="42" t="s">
        <v>160</v>
      </c>
      <c r="F1401" s="76" t="s">
        <v>40</v>
      </c>
      <c r="G1401" s="52">
        <v>-100</v>
      </c>
      <c r="H1401" s="32" t="s">
        <v>2143</v>
      </c>
    </row>
    <row r="1402" spans="1:8" ht="18.75">
      <c r="A1402" t="s">
        <v>2144</v>
      </c>
      <c r="B1402">
        <v>3</v>
      </c>
      <c r="C1402">
        <v>2025</v>
      </c>
      <c r="D1402" s="54">
        <v>45719</v>
      </c>
      <c r="E1402" s="42" t="s">
        <v>160</v>
      </c>
      <c r="F1402" s="76" t="s">
        <v>40</v>
      </c>
      <c r="G1402" s="52">
        <v>-200</v>
      </c>
      <c r="H1402" s="32" t="s">
        <v>2145</v>
      </c>
    </row>
    <row r="1403" spans="1:8" ht="18.75">
      <c r="A1403" s="77" t="s">
        <v>2146</v>
      </c>
      <c r="B1403">
        <v>3</v>
      </c>
      <c r="C1403">
        <v>2025</v>
      </c>
      <c r="D1403" s="54">
        <v>45720</v>
      </c>
      <c r="E1403" s="42" t="s">
        <v>249</v>
      </c>
      <c r="F1403" s="76" t="s">
        <v>58</v>
      </c>
      <c r="G1403" s="52">
        <v>-60.46</v>
      </c>
      <c r="H1403" s="32" t="s">
        <v>2147</v>
      </c>
    </row>
    <row r="1404" spans="1:8" ht="18.75">
      <c r="A1404" t="s">
        <v>2148</v>
      </c>
      <c r="B1404">
        <v>3</v>
      </c>
      <c r="C1404">
        <v>2025</v>
      </c>
      <c r="D1404" s="54">
        <v>45720</v>
      </c>
      <c r="E1404" s="42" t="s">
        <v>160</v>
      </c>
      <c r="F1404" s="76" t="s">
        <v>43</v>
      </c>
      <c r="G1404" s="52">
        <v>-9.0299999999999994</v>
      </c>
      <c r="H1404" s="32" t="s">
        <v>163</v>
      </c>
    </row>
    <row r="1405" spans="1:8" ht="18.75">
      <c r="A1405" t="s">
        <v>2149</v>
      </c>
      <c r="B1405">
        <v>3</v>
      </c>
      <c r="C1405">
        <v>2025</v>
      </c>
      <c r="D1405" s="54">
        <v>45720</v>
      </c>
      <c r="E1405" s="42" t="s">
        <v>160</v>
      </c>
      <c r="F1405" s="76" t="s">
        <v>29</v>
      </c>
      <c r="G1405" s="52">
        <v>-221.5</v>
      </c>
      <c r="H1405" s="32" t="s">
        <v>167</v>
      </c>
    </row>
    <row r="1406" spans="1:8" ht="18.75">
      <c r="A1406" t="s">
        <v>2150</v>
      </c>
      <c r="B1406">
        <v>3</v>
      </c>
      <c r="C1406">
        <v>2025</v>
      </c>
      <c r="D1406" s="54">
        <v>45721</v>
      </c>
      <c r="E1406" s="42" t="s">
        <v>249</v>
      </c>
      <c r="F1406" s="76" t="s">
        <v>57</v>
      </c>
      <c r="G1406" s="52">
        <v>-33.659999999999997</v>
      </c>
      <c r="H1406" s="32" t="s">
        <v>1172</v>
      </c>
    </row>
    <row r="1407" spans="1:8" ht="18.75">
      <c r="A1407" t="s">
        <v>2151</v>
      </c>
      <c r="B1407">
        <v>3</v>
      </c>
      <c r="C1407">
        <v>2025</v>
      </c>
      <c r="D1407" s="54">
        <v>45722</v>
      </c>
      <c r="E1407" s="42" t="s">
        <v>249</v>
      </c>
      <c r="F1407" s="76" t="s">
        <v>45</v>
      </c>
      <c r="G1407" s="52">
        <v>-41.8</v>
      </c>
      <c r="H1407" s="32" t="s">
        <v>1277</v>
      </c>
    </row>
    <row r="1408" spans="1:8" ht="18.75">
      <c r="A1408" t="s">
        <v>2152</v>
      </c>
      <c r="B1408">
        <v>3</v>
      </c>
      <c r="C1408">
        <v>2025</v>
      </c>
      <c r="D1408" s="54">
        <v>45722</v>
      </c>
      <c r="E1408" s="42" t="s">
        <v>160</v>
      </c>
      <c r="F1408" s="76" t="s">
        <v>31</v>
      </c>
      <c r="G1408" s="52">
        <v>-396.68</v>
      </c>
      <c r="H1408" s="32" t="s">
        <v>2153</v>
      </c>
    </row>
    <row r="1409" spans="1:8" ht="18.75">
      <c r="A1409" t="s">
        <v>2154</v>
      </c>
      <c r="B1409">
        <v>3</v>
      </c>
      <c r="C1409">
        <v>2025</v>
      </c>
      <c r="D1409" s="54">
        <v>45723</v>
      </c>
      <c r="E1409" s="42" t="s">
        <v>249</v>
      </c>
      <c r="F1409" s="76" t="s">
        <v>42</v>
      </c>
      <c r="G1409" s="52">
        <v>-25.98</v>
      </c>
      <c r="H1409" s="32" t="s">
        <v>278</v>
      </c>
    </row>
    <row r="1410" spans="1:8" ht="18.75">
      <c r="A1410" t="s">
        <v>2155</v>
      </c>
      <c r="B1410">
        <v>3</v>
      </c>
      <c r="C1410">
        <v>2025</v>
      </c>
      <c r="D1410" s="54">
        <v>45723</v>
      </c>
      <c r="E1410" s="42" t="s">
        <v>249</v>
      </c>
      <c r="F1410" s="76" t="s">
        <v>58</v>
      </c>
      <c r="G1410" s="52">
        <v>-14.2</v>
      </c>
      <c r="H1410" s="32" t="s">
        <v>308</v>
      </c>
    </row>
    <row r="1411" spans="1:8" ht="18.75">
      <c r="A1411" t="s">
        <v>2156</v>
      </c>
      <c r="B1411">
        <v>3</v>
      </c>
      <c r="C1411">
        <v>2025</v>
      </c>
      <c r="D1411" s="54">
        <v>45723</v>
      </c>
      <c r="E1411" s="42" t="s">
        <v>160</v>
      </c>
      <c r="F1411" s="76" t="s">
        <v>33</v>
      </c>
      <c r="G1411" s="52">
        <v>-443.25</v>
      </c>
      <c r="H1411" s="32" t="s">
        <v>169</v>
      </c>
    </row>
    <row r="1412" spans="1:8" ht="18.75">
      <c r="A1412" t="s">
        <v>2157</v>
      </c>
      <c r="B1412">
        <v>3</v>
      </c>
      <c r="C1412">
        <v>2025</v>
      </c>
      <c r="D1412" s="54">
        <v>45723</v>
      </c>
      <c r="E1412" s="42" t="s">
        <v>249</v>
      </c>
      <c r="F1412" s="76" t="s">
        <v>54</v>
      </c>
      <c r="G1412" s="52">
        <v>-18.13</v>
      </c>
      <c r="H1412" s="32" t="s">
        <v>2158</v>
      </c>
    </row>
    <row r="1413" spans="1:8" ht="18.75">
      <c r="A1413" t="s">
        <v>2159</v>
      </c>
      <c r="B1413">
        <v>3</v>
      </c>
      <c r="C1413">
        <v>2025</v>
      </c>
      <c r="D1413" s="54">
        <v>45723</v>
      </c>
      <c r="E1413" s="42" t="s">
        <v>249</v>
      </c>
      <c r="F1413" s="76" t="s">
        <v>54</v>
      </c>
      <c r="G1413" s="52">
        <v>-7.66</v>
      </c>
      <c r="H1413" s="32" t="s">
        <v>1378</v>
      </c>
    </row>
    <row r="1414" spans="1:8" ht="18.75">
      <c r="A1414" t="s">
        <v>2160</v>
      </c>
      <c r="B1414">
        <v>3</v>
      </c>
      <c r="C1414">
        <v>2025</v>
      </c>
      <c r="D1414" s="54">
        <v>45723</v>
      </c>
      <c r="E1414" s="42" t="s">
        <v>249</v>
      </c>
      <c r="F1414" s="76" t="s">
        <v>41</v>
      </c>
      <c r="G1414" s="52">
        <v>-37.659999999999997</v>
      </c>
      <c r="H1414" s="32" t="s">
        <v>671</v>
      </c>
    </row>
    <row r="1415" spans="1:8" ht="18.75">
      <c r="A1415" t="s">
        <v>2161</v>
      </c>
      <c r="B1415">
        <v>3</v>
      </c>
      <c r="C1415">
        <v>2025</v>
      </c>
      <c r="D1415" s="54">
        <v>45723</v>
      </c>
      <c r="E1415" s="42" t="s">
        <v>249</v>
      </c>
      <c r="F1415" s="76" t="s">
        <v>44</v>
      </c>
      <c r="G1415" s="52">
        <v>-67.790000000000006</v>
      </c>
      <c r="H1415" s="32" t="s">
        <v>2162</v>
      </c>
    </row>
    <row r="1416" spans="1:8" ht="18.75">
      <c r="A1416" t="s">
        <v>2163</v>
      </c>
      <c r="B1416">
        <v>3</v>
      </c>
      <c r="C1416">
        <v>2025</v>
      </c>
      <c r="D1416" s="54">
        <v>45723</v>
      </c>
      <c r="E1416" s="42" t="s">
        <v>160</v>
      </c>
      <c r="F1416" s="76" t="s">
        <v>40</v>
      </c>
      <c r="G1416" s="52">
        <v>-100</v>
      </c>
      <c r="H1416" s="32" t="s">
        <v>2164</v>
      </c>
    </row>
    <row r="1417" spans="1:8" ht="18.75">
      <c r="A1417" t="s">
        <v>2165</v>
      </c>
      <c r="B1417">
        <v>3</v>
      </c>
      <c r="C1417">
        <v>2025</v>
      </c>
      <c r="D1417" s="54">
        <v>45724</v>
      </c>
      <c r="E1417" s="42" t="s">
        <v>249</v>
      </c>
      <c r="F1417" s="76" t="s">
        <v>31</v>
      </c>
      <c r="G1417" s="52">
        <v>-204.02</v>
      </c>
      <c r="H1417" s="32" t="s">
        <v>2166</v>
      </c>
    </row>
    <row r="1418" spans="1:8" ht="18.75">
      <c r="A1418" t="s">
        <v>2167</v>
      </c>
      <c r="B1418">
        <v>3</v>
      </c>
      <c r="C1418">
        <v>2025</v>
      </c>
      <c r="D1418" s="54">
        <v>45724</v>
      </c>
      <c r="E1418" s="42" t="s">
        <v>249</v>
      </c>
      <c r="F1418" s="76" t="s">
        <v>54</v>
      </c>
      <c r="G1418" s="52">
        <v>-10.38</v>
      </c>
      <c r="H1418" s="32" t="s">
        <v>2168</v>
      </c>
    </row>
    <row r="1419" spans="1:8" ht="18.75">
      <c r="A1419" t="s">
        <v>2169</v>
      </c>
      <c r="B1419">
        <v>3</v>
      </c>
      <c r="C1419">
        <v>2025</v>
      </c>
      <c r="D1419" s="54">
        <v>45725</v>
      </c>
      <c r="E1419" s="42" t="s">
        <v>249</v>
      </c>
      <c r="F1419" s="76" t="s">
        <v>54</v>
      </c>
      <c r="G1419" s="52">
        <v>-7.54</v>
      </c>
      <c r="H1419" s="32" t="s">
        <v>2170</v>
      </c>
    </row>
    <row r="1420" spans="1:8" ht="18.75">
      <c r="A1420" t="s">
        <v>2171</v>
      </c>
      <c r="B1420">
        <v>3</v>
      </c>
      <c r="C1420">
        <v>2025</v>
      </c>
      <c r="D1420" s="54">
        <v>45726</v>
      </c>
      <c r="E1420" s="42" t="s">
        <v>160</v>
      </c>
      <c r="F1420" s="76" t="s">
        <v>51</v>
      </c>
      <c r="G1420" s="52">
        <v>-125.87</v>
      </c>
      <c r="H1420" s="32" t="s">
        <v>199</v>
      </c>
    </row>
    <row r="1421" spans="1:8" ht="18.75">
      <c r="A1421" t="s">
        <v>2172</v>
      </c>
      <c r="B1421">
        <v>3</v>
      </c>
      <c r="C1421">
        <v>2025</v>
      </c>
      <c r="D1421" s="54">
        <v>45726</v>
      </c>
      <c r="E1421" s="42" t="s">
        <v>249</v>
      </c>
      <c r="F1421" s="76" t="s">
        <v>35</v>
      </c>
      <c r="G1421" s="52">
        <v>-88.14</v>
      </c>
      <c r="H1421" s="32" t="s">
        <v>285</v>
      </c>
    </row>
    <row r="1422" spans="1:8" ht="18.75">
      <c r="A1422" t="s">
        <v>2173</v>
      </c>
      <c r="B1422">
        <v>3</v>
      </c>
      <c r="C1422">
        <v>2025</v>
      </c>
      <c r="D1422" s="54">
        <v>45728</v>
      </c>
      <c r="E1422" s="42" t="s">
        <v>160</v>
      </c>
      <c r="F1422" s="76" t="s">
        <v>79</v>
      </c>
      <c r="G1422" s="52">
        <v>2232.42</v>
      </c>
      <c r="H1422" s="32" t="s">
        <v>1655</v>
      </c>
    </row>
    <row r="1423" spans="1:8" ht="18.75">
      <c r="A1423" t="s">
        <v>2174</v>
      </c>
      <c r="B1423">
        <v>3</v>
      </c>
      <c r="C1423">
        <v>2025</v>
      </c>
      <c r="D1423" s="54">
        <v>45729</v>
      </c>
      <c r="E1423" s="42" t="s">
        <v>160</v>
      </c>
      <c r="F1423" s="76" t="s">
        <v>79</v>
      </c>
      <c r="G1423" s="52">
        <v>1281.69</v>
      </c>
      <c r="H1423" s="32" t="s">
        <v>190</v>
      </c>
    </row>
    <row r="1424" spans="1:8" ht="18.75">
      <c r="A1424" t="s">
        <v>2175</v>
      </c>
      <c r="B1424">
        <v>3</v>
      </c>
      <c r="C1424">
        <v>2025</v>
      </c>
      <c r="D1424" s="54">
        <v>45729</v>
      </c>
      <c r="E1424" s="42" t="s">
        <v>160</v>
      </c>
      <c r="F1424" s="76" t="s">
        <v>30</v>
      </c>
      <c r="G1424" s="52">
        <v>-230.84</v>
      </c>
      <c r="H1424" s="32" t="s">
        <v>196</v>
      </c>
    </row>
    <row r="1425" spans="1:8" ht="18.75">
      <c r="A1425" t="s">
        <v>2176</v>
      </c>
      <c r="B1425">
        <v>3</v>
      </c>
      <c r="C1425">
        <v>2025</v>
      </c>
      <c r="D1425" s="54">
        <v>45732</v>
      </c>
      <c r="E1425" s="42" t="s">
        <v>249</v>
      </c>
      <c r="F1425" s="76" t="s">
        <v>31</v>
      </c>
      <c r="G1425" s="52">
        <v>-121.47</v>
      </c>
      <c r="H1425" s="32" t="s">
        <v>2177</v>
      </c>
    </row>
    <row r="1426" spans="1:8" ht="18.75">
      <c r="A1426" t="s">
        <v>2178</v>
      </c>
      <c r="B1426">
        <v>3</v>
      </c>
      <c r="C1426">
        <v>2025</v>
      </c>
      <c r="D1426" s="54">
        <v>45732</v>
      </c>
      <c r="E1426" s="42" t="s">
        <v>249</v>
      </c>
      <c r="F1426" s="76" t="s">
        <v>31</v>
      </c>
      <c r="G1426" s="52">
        <v>-128.75</v>
      </c>
      <c r="H1426" s="32" t="s">
        <v>2179</v>
      </c>
    </row>
    <row r="1427" spans="1:8" ht="18.75">
      <c r="A1427" t="s">
        <v>2180</v>
      </c>
      <c r="B1427">
        <v>3</v>
      </c>
      <c r="C1427">
        <v>2025</v>
      </c>
      <c r="D1427" s="54">
        <v>45732</v>
      </c>
      <c r="E1427" s="42" t="s">
        <v>249</v>
      </c>
      <c r="F1427" s="76" t="s">
        <v>31</v>
      </c>
      <c r="G1427" s="52">
        <v>-9.0399999999999991</v>
      </c>
      <c r="H1427" s="32" t="s">
        <v>508</v>
      </c>
    </row>
    <row r="1428" spans="1:8" ht="18.75">
      <c r="A1428" t="s">
        <v>2181</v>
      </c>
      <c r="B1428">
        <v>3</v>
      </c>
      <c r="C1428">
        <v>2025</v>
      </c>
      <c r="D1428" s="54">
        <v>45732</v>
      </c>
      <c r="E1428" s="42" t="s">
        <v>249</v>
      </c>
      <c r="F1428" s="76" t="s">
        <v>31</v>
      </c>
      <c r="G1428" s="52">
        <v>-30.37</v>
      </c>
      <c r="H1428" s="32" t="s">
        <v>508</v>
      </c>
    </row>
    <row r="1429" spans="1:8" ht="18.75">
      <c r="B1429">
        <v>3</v>
      </c>
      <c r="C1429">
        <v>2025</v>
      </c>
      <c r="D1429" s="54">
        <v>45733</v>
      </c>
      <c r="E1429" s="42" t="s">
        <v>146</v>
      </c>
      <c r="F1429" s="76" t="s">
        <v>31</v>
      </c>
      <c r="G1429" s="52">
        <v>450</v>
      </c>
      <c r="H1429" s="32" t="s">
        <v>2182</v>
      </c>
    </row>
    <row r="1430" spans="1:8" ht="18.75">
      <c r="A1430" t="s">
        <v>2183</v>
      </c>
      <c r="B1430">
        <v>3</v>
      </c>
      <c r="C1430">
        <v>2025</v>
      </c>
      <c r="D1430" s="54">
        <v>45733</v>
      </c>
      <c r="E1430" s="42" t="s">
        <v>160</v>
      </c>
      <c r="F1430" s="76" t="s">
        <v>31</v>
      </c>
      <c r="G1430" s="52">
        <v>27.57</v>
      </c>
      <c r="H1430" s="32" t="s">
        <v>2184</v>
      </c>
    </row>
    <row r="1431" spans="1:8" ht="18.75">
      <c r="A1431" t="s">
        <v>2185</v>
      </c>
      <c r="B1431">
        <v>3</v>
      </c>
      <c r="C1431">
        <v>2025</v>
      </c>
      <c r="D1431" s="54">
        <v>45733</v>
      </c>
      <c r="E1431" s="42" t="s">
        <v>160</v>
      </c>
      <c r="F1431" s="76" t="s">
        <v>31</v>
      </c>
      <c r="G1431" s="52">
        <v>120</v>
      </c>
      <c r="H1431" s="32" t="s">
        <v>2184</v>
      </c>
    </row>
    <row r="1432" spans="1:8" ht="18.75">
      <c r="A1432" t="s">
        <v>2186</v>
      </c>
      <c r="B1432">
        <v>3</v>
      </c>
      <c r="C1432">
        <v>2025</v>
      </c>
      <c r="D1432" s="54">
        <v>45733</v>
      </c>
      <c r="E1432" s="42" t="s">
        <v>160</v>
      </c>
      <c r="F1432" s="76" t="s">
        <v>36</v>
      </c>
      <c r="G1432" s="52">
        <v>-70.17</v>
      </c>
      <c r="H1432" s="32" t="s">
        <v>2187</v>
      </c>
    </row>
    <row r="1433" spans="1:8" ht="18.75">
      <c r="A1433" t="s">
        <v>2188</v>
      </c>
      <c r="B1433">
        <v>3</v>
      </c>
      <c r="C1433">
        <v>2025</v>
      </c>
      <c r="D1433" s="54">
        <v>45747</v>
      </c>
      <c r="E1433" s="42" t="s">
        <v>160</v>
      </c>
      <c r="F1433" s="76" t="s">
        <v>49</v>
      </c>
      <c r="G1433" s="52">
        <v>-50</v>
      </c>
      <c r="H1433" s="32" t="s">
        <v>161</v>
      </c>
    </row>
    <row r="1434" spans="1:8" ht="18.75">
      <c r="A1434" t="s">
        <v>2189</v>
      </c>
      <c r="B1434">
        <v>3</v>
      </c>
      <c r="C1434">
        <v>2025</v>
      </c>
      <c r="D1434" s="54">
        <v>45733</v>
      </c>
      <c r="E1434" s="42" t="s">
        <v>160</v>
      </c>
      <c r="F1434" s="76" t="s">
        <v>51</v>
      </c>
      <c r="G1434" s="52">
        <v>-125.57</v>
      </c>
      <c r="H1434" s="32" t="s">
        <v>210</v>
      </c>
    </row>
    <row r="1435" spans="1:8" ht="18.75">
      <c r="A1435" t="s">
        <v>2190</v>
      </c>
      <c r="B1435">
        <v>3</v>
      </c>
      <c r="C1435">
        <v>2025</v>
      </c>
      <c r="D1435" s="54">
        <v>45733</v>
      </c>
      <c r="E1435" s="42" t="s">
        <v>249</v>
      </c>
      <c r="F1435" s="76" t="s">
        <v>52</v>
      </c>
      <c r="G1435" s="52">
        <v>-108.01</v>
      </c>
      <c r="H1435" s="32" t="s">
        <v>282</v>
      </c>
    </row>
    <row r="1436" spans="1:8" ht="18.75">
      <c r="A1436" t="s">
        <v>2191</v>
      </c>
      <c r="B1436">
        <v>3</v>
      </c>
      <c r="C1436">
        <v>2025</v>
      </c>
      <c r="D1436" s="54">
        <v>45733</v>
      </c>
      <c r="E1436" s="42" t="s">
        <v>160</v>
      </c>
      <c r="F1436" s="76" t="s">
        <v>64</v>
      </c>
      <c r="G1436" s="52">
        <v>-287</v>
      </c>
      <c r="H1436" s="32" t="s">
        <v>208</v>
      </c>
    </row>
    <row r="1437" spans="1:8" ht="18.75">
      <c r="B1437">
        <v>3</v>
      </c>
      <c r="C1437">
        <v>2025</v>
      </c>
      <c r="D1437" s="54">
        <v>45733</v>
      </c>
      <c r="E1437" s="42" t="s">
        <v>146</v>
      </c>
      <c r="F1437" s="76" t="s">
        <v>65</v>
      </c>
      <c r="G1437" s="52">
        <f>2000-824.1-645.21</f>
        <v>530.69000000000005</v>
      </c>
      <c r="H1437" s="32" t="s">
        <v>2192</v>
      </c>
    </row>
    <row r="1438" spans="1:8" ht="18.75">
      <c r="A1438" t="s">
        <v>2193</v>
      </c>
      <c r="B1438">
        <v>3</v>
      </c>
      <c r="C1438">
        <v>2025</v>
      </c>
      <c r="D1438" s="54">
        <v>45733</v>
      </c>
      <c r="E1438" s="42" t="s">
        <v>249</v>
      </c>
      <c r="F1438" s="76" t="s">
        <v>57</v>
      </c>
      <c r="G1438" s="52">
        <v>-157.94999999999999</v>
      </c>
      <c r="H1438" s="32" t="s">
        <v>282</v>
      </c>
    </row>
    <row r="1439" spans="1:8" ht="18.75">
      <c r="A1439" t="s">
        <v>2194</v>
      </c>
      <c r="B1439">
        <v>3</v>
      </c>
      <c r="C1439">
        <v>2025</v>
      </c>
      <c r="D1439" s="54">
        <v>45734</v>
      </c>
      <c r="E1439" s="42" t="s">
        <v>160</v>
      </c>
      <c r="F1439" s="76" t="s">
        <v>79</v>
      </c>
      <c r="G1439" s="52">
        <v>1949.14</v>
      </c>
      <c r="H1439" s="32" t="s">
        <v>2195</v>
      </c>
    </row>
    <row r="1440" spans="1:8" ht="18.75">
      <c r="A1440" t="s">
        <v>2196</v>
      </c>
      <c r="B1440">
        <v>3</v>
      </c>
      <c r="C1440">
        <v>2025</v>
      </c>
      <c r="D1440" s="54">
        <v>45734</v>
      </c>
      <c r="E1440" s="42" t="s">
        <v>146</v>
      </c>
      <c r="F1440" s="76" t="s">
        <v>79</v>
      </c>
      <c r="G1440" s="52">
        <v>-1949.14</v>
      </c>
      <c r="H1440" s="32" t="s">
        <v>2143</v>
      </c>
    </row>
    <row r="1441" spans="1:8" ht="18.75">
      <c r="A1441" t="s">
        <v>2197</v>
      </c>
      <c r="B1441">
        <v>3</v>
      </c>
      <c r="C1441">
        <v>2025</v>
      </c>
      <c r="D1441" s="54">
        <v>45734</v>
      </c>
      <c r="E1441" s="42" t="s">
        <v>160</v>
      </c>
      <c r="F1441" s="76" t="s">
        <v>43</v>
      </c>
      <c r="G1441" s="52">
        <v>-9.0299999999999994</v>
      </c>
      <c r="H1441" s="32" t="s">
        <v>163</v>
      </c>
    </row>
    <row r="1442" spans="1:8" ht="18.75">
      <c r="A1442" t="s">
        <v>2198</v>
      </c>
      <c r="B1442">
        <v>3</v>
      </c>
      <c r="C1442">
        <v>2025</v>
      </c>
      <c r="D1442" s="54">
        <v>45735</v>
      </c>
      <c r="E1442" s="42" t="s">
        <v>249</v>
      </c>
      <c r="F1442" s="76" t="s">
        <v>45</v>
      </c>
      <c r="G1442" s="52">
        <v>-57.61</v>
      </c>
      <c r="H1442" s="32" t="s">
        <v>1521</v>
      </c>
    </row>
    <row r="1443" spans="1:8" ht="18.75">
      <c r="A1443" t="s">
        <v>2199</v>
      </c>
      <c r="B1443">
        <v>3</v>
      </c>
      <c r="C1443">
        <v>2025</v>
      </c>
      <c r="D1443" s="54">
        <v>45735</v>
      </c>
      <c r="E1443" s="42" t="s">
        <v>249</v>
      </c>
      <c r="F1443" s="76" t="s">
        <v>39</v>
      </c>
      <c r="G1443" s="52">
        <v>-125.43</v>
      </c>
      <c r="H1443" s="32" t="s">
        <v>304</v>
      </c>
    </row>
    <row r="1444" spans="1:8" ht="18.75">
      <c r="A1444" t="s">
        <v>2200</v>
      </c>
      <c r="B1444">
        <v>3</v>
      </c>
      <c r="C1444">
        <v>2025</v>
      </c>
      <c r="D1444" s="54">
        <v>45735</v>
      </c>
      <c r="E1444" s="42" t="s">
        <v>249</v>
      </c>
      <c r="F1444" s="76" t="s">
        <v>79</v>
      </c>
      <c r="G1444" s="52">
        <v>2262.1</v>
      </c>
      <c r="H1444" s="32" t="s">
        <v>1755</v>
      </c>
    </row>
    <row r="1445" spans="1:8" ht="18.75">
      <c r="A1445" t="s">
        <v>2201</v>
      </c>
      <c r="B1445">
        <v>3</v>
      </c>
      <c r="C1445">
        <v>2025</v>
      </c>
      <c r="D1445" s="54">
        <v>45736</v>
      </c>
      <c r="E1445" s="42" t="s">
        <v>249</v>
      </c>
      <c r="F1445" s="76" t="s">
        <v>52</v>
      </c>
      <c r="G1445" s="52">
        <v>-8.27</v>
      </c>
      <c r="H1445" s="32" t="s">
        <v>2202</v>
      </c>
    </row>
    <row r="1446" spans="1:8" ht="18.75">
      <c r="A1446" t="s">
        <v>2203</v>
      </c>
      <c r="B1446">
        <v>3</v>
      </c>
      <c r="C1446">
        <v>2025</v>
      </c>
      <c r="D1446" s="54">
        <v>45736</v>
      </c>
      <c r="E1446" s="42" t="s">
        <v>160</v>
      </c>
      <c r="F1446" s="76" t="s">
        <v>79</v>
      </c>
      <c r="G1446" s="52">
        <v>-2262.1</v>
      </c>
      <c r="H1446" s="32" t="s">
        <v>214</v>
      </c>
    </row>
    <row r="1447" spans="1:8" ht="18.75">
      <c r="A1447" s="77" t="s">
        <v>2204</v>
      </c>
      <c r="B1447">
        <v>3</v>
      </c>
      <c r="C1447">
        <v>2025</v>
      </c>
      <c r="D1447" s="54">
        <v>45736</v>
      </c>
      <c r="E1447" s="42" t="s">
        <v>160</v>
      </c>
      <c r="F1447" s="76" t="s">
        <v>60</v>
      </c>
      <c r="G1447" s="52">
        <v>-87</v>
      </c>
      <c r="H1447" s="32" t="s">
        <v>212</v>
      </c>
    </row>
    <row r="1448" spans="1:8" ht="18.75">
      <c r="A1448" t="s">
        <v>2205</v>
      </c>
      <c r="B1448">
        <v>3</v>
      </c>
      <c r="C1448">
        <v>2025</v>
      </c>
      <c r="D1448" s="54">
        <v>45736</v>
      </c>
      <c r="E1448" s="42" t="s">
        <v>249</v>
      </c>
      <c r="F1448" s="76" t="s">
        <v>55</v>
      </c>
      <c r="G1448" s="52">
        <v>-22.59</v>
      </c>
      <c r="H1448" s="32" t="s">
        <v>2206</v>
      </c>
    </row>
    <row r="1449" spans="1:8" ht="18.75">
      <c r="A1449" t="s">
        <v>2207</v>
      </c>
      <c r="B1449">
        <v>3</v>
      </c>
      <c r="C1449">
        <v>2025</v>
      </c>
      <c r="D1449" s="54">
        <v>45737</v>
      </c>
      <c r="E1449" s="42" t="s">
        <v>160</v>
      </c>
      <c r="F1449" s="76" t="s">
        <v>33</v>
      </c>
      <c r="G1449" s="52">
        <v>-443.25</v>
      </c>
      <c r="H1449" s="32" t="s">
        <v>169</v>
      </c>
    </row>
    <row r="1450" spans="1:8" ht="18.75">
      <c r="A1450" t="s">
        <v>2208</v>
      </c>
      <c r="B1450">
        <v>3</v>
      </c>
      <c r="C1450">
        <v>2025</v>
      </c>
      <c r="D1450" s="54">
        <v>45737</v>
      </c>
      <c r="E1450" s="42" t="s">
        <v>249</v>
      </c>
      <c r="F1450" s="76" t="s">
        <v>41</v>
      </c>
      <c r="G1450" s="52">
        <v>-90.39</v>
      </c>
      <c r="H1450" s="32" t="s">
        <v>1275</v>
      </c>
    </row>
    <row r="1451" spans="1:8" ht="18.75">
      <c r="A1451" t="s">
        <v>2209</v>
      </c>
      <c r="B1451">
        <v>3</v>
      </c>
      <c r="C1451">
        <v>2025</v>
      </c>
      <c r="D1451" s="54">
        <v>45738</v>
      </c>
      <c r="E1451" s="42" t="s">
        <v>249</v>
      </c>
      <c r="F1451" s="76" t="s">
        <v>65</v>
      </c>
      <c r="G1451" s="52">
        <v>-6.77</v>
      </c>
      <c r="H1451" s="32" t="s">
        <v>2006</v>
      </c>
    </row>
    <row r="1452" spans="1:8" ht="18.75">
      <c r="A1452" t="s">
        <v>2210</v>
      </c>
      <c r="B1452">
        <v>3</v>
      </c>
      <c r="C1452">
        <v>2025</v>
      </c>
      <c r="D1452" s="54">
        <v>45738</v>
      </c>
      <c r="E1452" s="42" t="s">
        <v>249</v>
      </c>
      <c r="F1452" s="76" t="s">
        <v>65</v>
      </c>
      <c r="G1452" s="52">
        <v>-6.2</v>
      </c>
      <c r="H1452" s="32" t="s">
        <v>601</v>
      </c>
    </row>
    <row r="1453" spans="1:8" ht="18.75">
      <c r="A1453" t="s">
        <v>2211</v>
      </c>
      <c r="B1453">
        <v>3</v>
      </c>
      <c r="C1453">
        <v>2025</v>
      </c>
      <c r="D1453" s="54">
        <v>45738</v>
      </c>
      <c r="E1453" s="42" t="s">
        <v>249</v>
      </c>
      <c r="F1453" s="76" t="s">
        <v>65</v>
      </c>
      <c r="G1453" s="52">
        <v>-15.81</v>
      </c>
      <c r="H1453" s="32" t="s">
        <v>601</v>
      </c>
    </row>
    <row r="1454" spans="1:8" ht="18.75">
      <c r="A1454" t="s">
        <v>2212</v>
      </c>
      <c r="B1454">
        <v>3</v>
      </c>
      <c r="C1454">
        <v>2025</v>
      </c>
      <c r="D1454" s="54">
        <v>45738</v>
      </c>
      <c r="E1454" s="42" t="s">
        <v>249</v>
      </c>
      <c r="F1454" s="76" t="s">
        <v>57</v>
      </c>
      <c r="G1454" s="52">
        <v>-165.6</v>
      </c>
      <c r="H1454" s="32" t="s">
        <v>351</v>
      </c>
    </row>
    <row r="1455" spans="1:8" ht="18.75">
      <c r="A1455" t="s">
        <v>2213</v>
      </c>
      <c r="B1455">
        <v>3</v>
      </c>
      <c r="C1455">
        <v>2025</v>
      </c>
      <c r="D1455" s="54">
        <v>45739</v>
      </c>
      <c r="E1455" s="42" t="s">
        <v>249</v>
      </c>
      <c r="F1455" s="76" t="s">
        <v>58</v>
      </c>
      <c r="G1455" s="52">
        <v>-28.24</v>
      </c>
      <c r="H1455" s="32" t="s">
        <v>2214</v>
      </c>
    </row>
    <row r="1456" spans="1:8" ht="18.75">
      <c r="A1456" t="s">
        <v>2215</v>
      </c>
      <c r="B1456">
        <v>3</v>
      </c>
      <c r="C1456">
        <v>2025</v>
      </c>
      <c r="D1456" s="54">
        <v>45739</v>
      </c>
      <c r="E1456" s="42" t="s">
        <v>249</v>
      </c>
      <c r="F1456" s="76" t="s">
        <v>65</v>
      </c>
      <c r="G1456" s="52">
        <v>-12.4</v>
      </c>
      <c r="H1456" s="32" t="s">
        <v>2216</v>
      </c>
    </row>
    <row r="1457" spans="1:8" ht="18.75">
      <c r="A1457" t="s">
        <v>2217</v>
      </c>
      <c r="B1457">
        <v>3</v>
      </c>
      <c r="C1457">
        <v>2025</v>
      </c>
      <c r="D1457" s="54">
        <v>45739</v>
      </c>
      <c r="E1457" s="42" t="s">
        <v>249</v>
      </c>
      <c r="F1457" s="76" t="s">
        <v>32</v>
      </c>
      <c r="G1457" s="52">
        <v>-44.75</v>
      </c>
      <c r="H1457" s="32" t="s">
        <v>554</v>
      </c>
    </row>
    <row r="1458" spans="1:8" ht="18.75">
      <c r="A1458" t="s">
        <v>2218</v>
      </c>
      <c r="B1458">
        <v>3</v>
      </c>
      <c r="C1458">
        <v>2025</v>
      </c>
      <c r="D1458" s="54">
        <v>45740</v>
      </c>
      <c r="E1458" s="42" t="s">
        <v>160</v>
      </c>
      <c r="F1458" s="76" t="s">
        <v>63</v>
      </c>
      <c r="G1458" s="52">
        <v>-95.86</v>
      </c>
      <c r="H1458" s="32" t="s">
        <v>224</v>
      </c>
    </row>
    <row r="1459" spans="1:8" ht="18.75">
      <c r="A1459" t="s">
        <v>2219</v>
      </c>
      <c r="B1459">
        <v>3</v>
      </c>
      <c r="C1459">
        <v>2025</v>
      </c>
      <c r="D1459" s="54">
        <v>45740</v>
      </c>
      <c r="E1459" s="42" t="s">
        <v>160</v>
      </c>
      <c r="F1459" s="76" t="s">
        <v>29</v>
      </c>
      <c r="G1459" s="52">
        <v>-221.5</v>
      </c>
      <c r="H1459" s="32" t="s">
        <v>167</v>
      </c>
    </row>
    <row r="1460" spans="1:8" ht="18.75">
      <c r="A1460" t="s">
        <v>2220</v>
      </c>
      <c r="B1460">
        <v>3</v>
      </c>
      <c r="C1460">
        <v>2025</v>
      </c>
      <c r="D1460" s="54">
        <v>45741</v>
      </c>
      <c r="E1460" s="42" t="s">
        <v>249</v>
      </c>
      <c r="F1460" s="76" t="s">
        <v>58</v>
      </c>
      <c r="G1460" s="52">
        <v>-19.309999999999999</v>
      </c>
      <c r="H1460" s="32" t="s">
        <v>2221</v>
      </c>
    </row>
    <row r="1461" spans="1:8" ht="18.75">
      <c r="A1461" t="s">
        <v>2222</v>
      </c>
      <c r="B1461">
        <v>3</v>
      </c>
      <c r="C1461">
        <v>2025</v>
      </c>
      <c r="D1461" s="54">
        <v>45741</v>
      </c>
      <c r="E1461" s="42" t="s">
        <v>160</v>
      </c>
      <c r="F1461" s="76" t="s">
        <v>48</v>
      </c>
      <c r="G1461" s="52">
        <v>-4</v>
      </c>
      <c r="H1461" s="32" t="s">
        <v>228</v>
      </c>
    </row>
    <row r="1462" spans="1:8" ht="18.75">
      <c r="A1462" t="s">
        <v>2223</v>
      </c>
      <c r="B1462">
        <v>3</v>
      </c>
      <c r="C1462">
        <v>2025</v>
      </c>
      <c r="D1462" s="54">
        <v>45741</v>
      </c>
      <c r="E1462" s="42" t="s">
        <v>160</v>
      </c>
      <c r="F1462" s="76" t="s">
        <v>48</v>
      </c>
      <c r="G1462" s="52">
        <v>-10</v>
      </c>
      <c r="H1462" s="32" t="s">
        <v>230</v>
      </c>
    </row>
    <row r="1463" spans="1:8" ht="18.75">
      <c r="A1463" t="s">
        <v>2224</v>
      </c>
      <c r="B1463">
        <v>3</v>
      </c>
      <c r="C1463">
        <v>2025</v>
      </c>
      <c r="D1463" s="54">
        <v>45741</v>
      </c>
      <c r="E1463" s="42" t="s">
        <v>249</v>
      </c>
      <c r="F1463" s="76" t="s">
        <v>65</v>
      </c>
      <c r="G1463" s="52">
        <v>-7.33</v>
      </c>
      <c r="H1463" s="32" t="s">
        <v>601</v>
      </c>
    </row>
    <row r="1464" spans="1:8" ht="18.75">
      <c r="A1464" t="s">
        <v>2225</v>
      </c>
      <c r="B1464">
        <v>3</v>
      </c>
      <c r="C1464">
        <v>2025</v>
      </c>
      <c r="D1464" s="54">
        <v>45741</v>
      </c>
      <c r="E1464" s="42" t="s">
        <v>249</v>
      </c>
      <c r="F1464" s="76" t="s">
        <v>55</v>
      </c>
      <c r="G1464" s="52">
        <v>-128.49</v>
      </c>
      <c r="H1464" s="32" t="s">
        <v>356</v>
      </c>
    </row>
    <row r="1465" spans="1:8" ht="18.75">
      <c r="A1465" t="s">
        <v>2226</v>
      </c>
      <c r="B1465">
        <v>3</v>
      </c>
      <c r="C1465">
        <v>2025</v>
      </c>
      <c r="D1465" s="54">
        <v>45742</v>
      </c>
      <c r="E1465" s="42" t="s">
        <v>160</v>
      </c>
      <c r="F1465" s="76" t="s">
        <v>79</v>
      </c>
      <c r="G1465" s="52">
        <v>2260.42</v>
      </c>
      <c r="H1465" s="32" t="s">
        <v>1655</v>
      </c>
    </row>
    <row r="1466" spans="1:8" ht="18.75">
      <c r="A1466" t="s">
        <v>2227</v>
      </c>
      <c r="B1466">
        <v>3</v>
      </c>
      <c r="C1466">
        <v>2025</v>
      </c>
      <c r="D1466" s="54">
        <v>45743</v>
      </c>
      <c r="E1466" s="42" t="s">
        <v>160</v>
      </c>
      <c r="F1466" s="76" t="s">
        <v>79</v>
      </c>
      <c r="G1466" s="52">
        <v>1281.69</v>
      </c>
      <c r="H1466" s="32" t="s">
        <v>190</v>
      </c>
    </row>
    <row r="1467" spans="1:8" ht="18.75">
      <c r="A1467" t="s">
        <v>2228</v>
      </c>
      <c r="B1467">
        <v>3</v>
      </c>
      <c r="C1467">
        <v>2025</v>
      </c>
      <c r="D1467" s="54">
        <v>45745</v>
      </c>
      <c r="E1467" s="42" t="s">
        <v>249</v>
      </c>
      <c r="F1467" s="76" t="s">
        <v>45</v>
      </c>
      <c r="G1467" s="52">
        <v>-108.42</v>
      </c>
      <c r="H1467" s="32" t="s">
        <v>250</v>
      </c>
    </row>
    <row r="1468" spans="1:8" ht="18.75">
      <c r="A1468" t="s">
        <v>2229</v>
      </c>
      <c r="B1468">
        <v>3</v>
      </c>
      <c r="C1468">
        <v>2025</v>
      </c>
      <c r="D1468" s="54">
        <v>45745</v>
      </c>
      <c r="E1468" s="42" t="s">
        <v>249</v>
      </c>
      <c r="F1468" s="76" t="s">
        <v>57</v>
      </c>
      <c r="G1468" s="52">
        <v>-17.75</v>
      </c>
      <c r="H1468" s="32" t="s">
        <v>2230</v>
      </c>
    </row>
    <row r="1469" spans="1:8" ht="18.75">
      <c r="A1469" t="s">
        <v>2231</v>
      </c>
      <c r="B1469">
        <v>3</v>
      </c>
      <c r="C1469">
        <v>2025</v>
      </c>
      <c r="D1469" s="54">
        <v>45745</v>
      </c>
      <c r="E1469" s="42" t="s">
        <v>249</v>
      </c>
      <c r="F1469" s="76" t="s">
        <v>57</v>
      </c>
      <c r="G1469" s="52">
        <v>-135.46</v>
      </c>
      <c r="H1469" s="32" t="s">
        <v>351</v>
      </c>
    </row>
    <row r="1470" spans="1:8" ht="18.75">
      <c r="A1470" t="s">
        <v>2232</v>
      </c>
      <c r="B1470">
        <v>4</v>
      </c>
      <c r="C1470">
        <v>2025</v>
      </c>
      <c r="D1470" s="54">
        <v>45748</v>
      </c>
      <c r="E1470" s="42" t="s">
        <v>160</v>
      </c>
      <c r="F1470" s="76" t="s">
        <v>49</v>
      </c>
      <c r="G1470" s="52">
        <v>-50</v>
      </c>
      <c r="H1470" s="32" t="s">
        <v>173</v>
      </c>
    </row>
    <row r="1471" spans="1:8" ht="18.75">
      <c r="A1471" t="s">
        <v>2233</v>
      </c>
      <c r="B1471">
        <v>4</v>
      </c>
      <c r="C1471">
        <v>2025</v>
      </c>
      <c r="D1471" s="54">
        <v>45761</v>
      </c>
      <c r="E1471" s="42" t="s">
        <v>160</v>
      </c>
      <c r="F1471" s="76" t="s">
        <v>49</v>
      </c>
      <c r="G1471" s="52">
        <v>-50</v>
      </c>
      <c r="H1471" s="32" t="s">
        <v>161</v>
      </c>
    </row>
    <row r="1472" spans="1:8" ht="18.75">
      <c r="A1472" t="s">
        <v>2234</v>
      </c>
      <c r="B1472">
        <v>4</v>
      </c>
      <c r="C1472">
        <v>2025</v>
      </c>
      <c r="D1472" s="54">
        <v>45748</v>
      </c>
      <c r="E1472" s="42" t="s">
        <v>146</v>
      </c>
      <c r="F1472" s="76" t="s">
        <v>48</v>
      </c>
      <c r="G1472" s="52">
        <v>5.47</v>
      </c>
      <c r="H1472" s="32" t="s">
        <v>175</v>
      </c>
    </row>
    <row r="1473" spans="1:8" ht="18.75">
      <c r="A1473" t="s">
        <v>2235</v>
      </c>
      <c r="B1473">
        <v>4</v>
      </c>
      <c r="C1473">
        <v>2025</v>
      </c>
      <c r="D1473" s="54">
        <v>45748</v>
      </c>
      <c r="E1473" s="42" t="s">
        <v>160</v>
      </c>
      <c r="F1473" s="76" t="s">
        <v>79</v>
      </c>
      <c r="G1473" s="52">
        <v>-2492.83</v>
      </c>
      <c r="H1473" s="32" t="s">
        <v>2236</v>
      </c>
    </row>
    <row r="1474" spans="1:8" ht="18.75">
      <c r="A1474" t="s">
        <v>2237</v>
      </c>
      <c r="B1474">
        <v>4</v>
      </c>
      <c r="C1474">
        <v>2025</v>
      </c>
      <c r="D1474" s="54">
        <v>45748</v>
      </c>
      <c r="E1474" s="42" t="s">
        <v>146</v>
      </c>
      <c r="F1474" s="76" t="s">
        <v>79</v>
      </c>
      <c r="G1474" s="52">
        <v>2492.83</v>
      </c>
      <c r="H1474" s="32" t="s">
        <v>2238</v>
      </c>
    </row>
    <row r="1475" spans="1:8" ht="18.75">
      <c r="A1475" t="s">
        <v>2239</v>
      </c>
      <c r="B1475">
        <v>4</v>
      </c>
      <c r="C1475">
        <v>2025</v>
      </c>
      <c r="D1475" s="54">
        <v>45748</v>
      </c>
      <c r="E1475" s="42" t="s">
        <v>160</v>
      </c>
      <c r="F1475" s="76" t="s">
        <v>43</v>
      </c>
      <c r="G1475" s="52">
        <v>-9.0299999999999994</v>
      </c>
      <c r="H1475" s="32" t="s">
        <v>163</v>
      </c>
    </row>
    <row r="1476" spans="1:8" ht="18.75">
      <c r="A1476" t="s">
        <v>2240</v>
      </c>
      <c r="B1476">
        <v>4</v>
      </c>
      <c r="C1476">
        <v>2025</v>
      </c>
      <c r="D1476" s="54">
        <v>45748</v>
      </c>
      <c r="E1476" s="42" t="s">
        <v>249</v>
      </c>
      <c r="F1476" s="76" t="s">
        <v>59</v>
      </c>
      <c r="G1476" s="52">
        <v>-35.880000000000003</v>
      </c>
      <c r="H1476" s="32" t="s">
        <v>359</v>
      </c>
    </row>
    <row r="1477" spans="1:8" ht="18.75">
      <c r="A1477" t="s">
        <v>2241</v>
      </c>
      <c r="B1477">
        <v>4</v>
      </c>
      <c r="C1477">
        <v>2025</v>
      </c>
      <c r="D1477" s="54">
        <v>45748</v>
      </c>
      <c r="E1477" s="42" t="s">
        <v>249</v>
      </c>
      <c r="F1477" s="76" t="s">
        <v>59</v>
      </c>
      <c r="G1477" s="52">
        <v>-0.56999999999999995</v>
      </c>
      <c r="H1477" s="32" t="s">
        <v>359</v>
      </c>
    </row>
    <row r="1478" spans="1:8" ht="18.75">
      <c r="A1478" t="s">
        <v>2242</v>
      </c>
      <c r="B1478">
        <v>4</v>
      </c>
      <c r="C1478">
        <v>2025</v>
      </c>
      <c r="D1478" s="54">
        <v>45748</v>
      </c>
      <c r="E1478" s="42" t="s">
        <v>160</v>
      </c>
      <c r="F1478" s="76" t="s">
        <v>40</v>
      </c>
      <c r="G1478" s="52">
        <v>-100</v>
      </c>
      <c r="H1478" s="32" t="s">
        <v>2243</v>
      </c>
    </row>
    <row r="1479" spans="1:8" ht="18.75">
      <c r="A1479" t="s">
        <v>2244</v>
      </c>
      <c r="B1479">
        <v>4</v>
      </c>
      <c r="C1479">
        <v>2025</v>
      </c>
      <c r="D1479" s="54">
        <v>45748</v>
      </c>
      <c r="E1479" s="42" t="s">
        <v>160</v>
      </c>
      <c r="F1479" s="76" t="s">
        <v>40</v>
      </c>
      <c r="G1479" s="52">
        <v>-200</v>
      </c>
      <c r="H1479" s="32" t="s">
        <v>2245</v>
      </c>
    </row>
    <row r="1480" spans="1:8" ht="18.75">
      <c r="A1480" t="s">
        <v>2246</v>
      </c>
      <c r="B1480">
        <v>4</v>
      </c>
      <c r="C1480">
        <v>2025</v>
      </c>
      <c r="D1480" s="54">
        <v>45749</v>
      </c>
      <c r="E1480" s="42" t="s">
        <v>249</v>
      </c>
      <c r="F1480" s="76" t="s">
        <v>31</v>
      </c>
      <c r="G1480" s="52">
        <v>-648.35</v>
      </c>
      <c r="H1480" s="32" t="s">
        <v>2247</v>
      </c>
    </row>
    <row r="1481" spans="1:8" ht="18.75">
      <c r="A1481" t="s">
        <v>2248</v>
      </c>
      <c r="B1481">
        <v>4</v>
      </c>
      <c r="C1481">
        <v>2025</v>
      </c>
      <c r="D1481" s="54">
        <v>45749</v>
      </c>
      <c r="E1481" s="42" t="s">
        <v>249</v>
      </c>
      <c r="F1481" s="76" t="s">
        <v>37</v>
      </c>
      <c r="G1481" s="52">
        <v>-181.24</v>
      </c>
      <c r="H1481" s="32" t="s">
        <v>2249</v>
      </c>
    </row>
    <row r="1482" spans="1:8" ht="18.75">
      <c r="A1482" t="s">
        <v>2250</v>
      </c>
      <c r="B1482">
        <v>4</v>
      </c>
      <c r="C1482">
        <v>2025</v>
      </c>
      <c r="D1482" s="54">
        <v>45750</v>
      </c>
      <c r="E1482" s="42" t="s">
        <v>160</v>
      </c>
      <c r="F1482" s="76" t="s">
        <v>79</v>
      </c>
      <c r="G1482" s="52">
        <v>237.91</v>
      </c>
      <c r="H1482" s="32" t="s">
        <v>2251</v>
      </c>
    </row>
    <row r="1483" spans="1:8" ht="18.75">
      <c r="A1483" t="s">
        <v>2252</v>
      </c>
      <c r="B1483">
        <v>4</v>
      </c>
      <c r="C1483">
        <v>2025</v>
      </c>
      <c r="D1483" s="54">
        <v>45750</v>
      </c>
      <c r="E1483" s="42" t="s">
        <v>146</v>
      </c>
      <c r="F1483" s="76" t="s">
        <v>79</v>
      </c>
      <c r="G1483" s="52">
        <v>-237.91</v>
      </c>
      <c r="H1483" s="32" t="s">
        <v>2253</v>
      </c>
    </row>
    <row r="1484" spans="1:8" ht="18.75">
      <c r="A1484" t="s">
        <v>2254</v>
      </c>
      <c r="B1484">
        <v>4</v>
      </c>
      <c r="C1484">
        <v>2025</v>
      </c>
      <c r="D1484" s="54">
        <v>45750</v>
      </c>
      <c r="E1484" s="42" t="s">
        <v>249</v>
      </c>
      <c r="F1484" s="76" t="s">
        <v>59</v>
      </c>
      <c r="G1484" s="52">
        <v>-55.92</v>
      </c>
      <c r="H1484" s="32" t="s">
        <v>2255</v>
      </c>
    </row>
    <row r="1485" spans="1:8" ht="18.75">
      <c r="A1485" t="s">
        <v>2256</v>
      </c>
      <c r="B1485">
        <v>4</v>
      </c>
      <c r="C1485">
        <v>2025</v>
      </c>
      <c r="D1485" s="54">
        <v>45750</v>
      </c>
      <c r="E1485" s="42" t="s">
        <v>160</v>
      </c>
      <c r="F1485" s="76" t="s">
        <v>61</v>
      </c>
      <c r="G1485" s="52">
        <v>-300</v>
      </c>
      <c r="H1485" s="32" t="s">
        <v>2257</v>
      </c>
    </row>
    <row r="1486" spans="1:8" ht="18.75">
      <c r="A1486" t="s">
        <v>2258</v>
      </c>
      <c r="B1486">
        <v>4</v>
      </c>
      <c r="C1486">
        <v>2025</v>
      </c>
      <c r="D1486" s="54">
        <v>45750</v>
      </c>
      <c r="E1486" s="42" t="s">
        <v>160</v>
      </c>
      <c r="F1486" s="76" t="s">
        <v>40</v>
      </c>
      <c r="G1486" s="52">
        <v>-100</v>
      </c>
      <c r="H1486" s="32" t="s">
        <v>2259</v>
      </c>
    </row>
    <row r="1487" spans="1:8" ht="18.75">
      <c r="A1487" t="s">
        <v>2260</v>
      </c>
      <c r="B1487">
        <v>4</v>
      </c>
      <c r="C1487">
        <v>2025</v>
      </c>
      <c r="D1487" s="54">
        <v>45751</v>
      </c>
      <c r="E1487" s="42" t="s">
        <v>160</v>
      </c>
      <c r="F1487" s="76" t="s">
        <v>33</v>
      </c>
      <c r="G1487" s="52">
        <v>-443.25</v>
      </c>
      <c r="H1487" s="32" t="s">
        <v>169</v>
      </c>
    </row>
    <row r="1488" spans="1:8" ht="18.75">
      <c r="A1488" t="s">
        <v>2261</v>
      </c>
      <c r="B1488">
        <v>4</v>
      </c>
      <c r="C1488">
        <v>2025</v>
      </c>
      <c r="D1488" s="54">
        <v>45751</v>
      </c>
      <c r="E1488" s="42" t="s">
        <v>249</v>
      </c>
      <c r="F1488" s="76" t="s">
        <v>46</v>
      </c>
      <c r="G1488" s="52">
        <v>-40</v>
      </c>
      <c r="H1488" s="32" t="s">
        <v>268</v>
      </c>
    </row>
    <row r="1489" spans="1:8" ht="18.75">
      <c r="A1489" t="s">
        <v>2262</v>
      </c>
      <c r="B1489">
        <v>4</v>
      </c>
      <c r="C1489">
        <v>2025</v>
      </c>
      <c r="D1489" s="54">
        <v>45753</v>
      </c>
      <c r="E1489" s="42" t="s">
        <v>249</v>
      </c>
      <c r="F1489" s="76" t="s">
        <v>52</v>
      </c>
      <c r="G1489" s="52">
        <v>-22.53</v>
      </c>
      <c r="H1489" s="32" t="s">
        <v>282</v>
      </c>
    </row>
    <row r="1490" spans="1:8" ht="18.75">
      <c r="A1490" t="s">
        <v>2263</v>
      </c>
      <c r="B1490">
        <v>4</v>
      </c>
      <c r="C1490">
        <v>2025</v>
      </c>
      <c r="D1490" s="54">
        <v>45753</v>
      </c>
      <c r="E1490" s="42" t="s">
        <v>249</v>
      </c>
      <c r="F1490" s="76" t="s">
        <v>52</v>
      </c>
      <c r="G1490" s="52">
        <v>-52</v>
      </c>
      <c r="H1490" s="32" t="s">
        <v>2264</v>
      </c>
    </row>
    <row r="1491" spans="1:8" ht="18.75">
      <c r="A1491" t="s">
        <v>2265</v>
      </c>
      <c r="B1491">
        <v>4</v>
      </c>
      <c r="C1491">
        <v>2025</v>
      </c>
      <c r="D1491" s="54">
        <v>45753</v>
      </c>
      <c r="E1491" s="42" t="s">
        <v>249</v>
      </c>
      <c r="F1491" s="76" t="s">
        <v>65</v>
      </c>
      <c r="G1491" s="52">
        <v>-94.91</v>
      </c>
      <c r="H1491" s="32" t="s">
        <v>2266</v>
      </c>
    </row>
    <row r="1492" spans="1:8" ht="18.75">
      <c r="A1492" t="s">
        <v>2267</v>
      </c>
      <c r="B1492">
        <v>4</v>
      </c>
      <c r="C1492">
        <v>2025</v>
      </c>
      <c r="D1492" s="54">
        <v>45753</v>
      </c>
      <c r="E1492" s="42" t="s">
        <v>249</v>
      </c>
      <c r="F1492" s="76" t="s">
        <v>65</v>
      </c>
      <c r="G1492" s="52">
        <v>-65.52</v>
      </c>
      <c r="H1492" s="32" t="s">
        <v>2268</v>
      </c>
    </row>
    <row r="1493" spans="1:8" ht="18.75">
      <c r="A1493" t="s">
        <v>2269</v>
      </c>
      <c r="B1493">
        <v>4</v>
      </c>
      <c r="C1493">
        <v>2025</v>
      </c>
      <c r="D1493" s="54">
        <v>45753</v>
      </c>
      <c r="E1493" s="42" t="s">
        <v>249</v>
      </c>
      <c r="F1493" s="76" t="s">
        <v>57</v>
      </c>
      <c r="G1493" s="52">
        <v>-181.93</v>
      </c>
      <c r="H1493" s="32" t="s">
        <v>282</v>
      </c>
    </row>
    <row r="1494" spans="1:8" ht="18.75">
      <c r="A1494" t="s">
        <v>2270</v>
      </c>
      <c r="B1494">
        <v>4</v>
      </c>
      <c r="C1494">
        <v>2025</v>
      </c>
      <c r="D1494" s="54">
        <v>45753</v>
      </c>
      <c r="E1494" s="42" t="s">
        <v>249</v>
      </c>
      <c r="F1494" s="76" t="s">
        <v>57</v>
      </c>
      <c r="G1494" s="52">
        <v>-111.3</v>
      </c>
      <c r="H1494" s="32" t="s">
        <v>1263</v>
      </c>
    </row>
    <row r="1495" spans="1:8" ht="18.75">
      <c r="A1495" t="s">
        <v>2271</v>
      </c>
      <c r="B1495">
        <v>4</v>
      </c>
      <c r="C1495">
        <v>2025</v>
      </c>
      <c r="D1495" s="54">
        <v>45753</v>
      </c>
      <c r="E1495" s="42" t="s">
        <v>249</v>
      </c>
      <c r="F1495" s="76" t="s">
        <v>32</v>
      </c>
      <c r="G1495" s="52">
        <v>-99.2</v>
      </c>
      <c r="H1495" s="32" t="s">
        <v>554</v>
      </c>
    </row>
    <row r="1496" spans="1:8" ht="18.75">
      <c r="A1496" t="s">
        <v>2272</v>
      </c>
      <c r="B1496">
        <v>4</v>
      </c>
      <c r="C1496">
        <v>2025</v>
      </c>
      <c r="D1496" s="54">
        <v>45754</v>
      </c>
      <c r="E1496" s="42" t="s">
        <v>249</v>
      </c>
      <c r="F1496" s="76" t="s">
        <v>42</v>
      </c>
      <c r="G1496" s="52">
        <v>-25.98</v>
      </c>
      <c r="H1496" s="32" t="s">
        <v>1833</v>
      </c>
    </row>
    <row r="1497" spans="1:8" ht="18.75">
      <c r="A1497" t="s">
        <v>2273</v>
      </c>
      <c r="B1497">
        <v>4</v>
      </c>
      <c r="C1497">
        <v>2025</v>
      </c>
      <c r="D1497" s="54">
        <v>45754</v>
      </c>
      <c r="E1497" s="42" t="s">
        <v>160</v>
      </c>
      <c r="F1497" s="76" t="s">
        <v>30</v>
      </c>
      <c r="G1497" s="52">
        <v>-230.75</v>
      </c>
      <c r="H1497" s="32" t="s">
        <v>196</v>
      </c>
    </row>
    <row r="1498" spans="1:8" ht="18.75">
      <c r="A1498" t="s">
        <v>2274</v>
      </c>
      <c r="B1498">
        <v>4</v>
      </c>
      <c r="C1498">
        <v>2025</v>
      </c>
      <c r="D1498" s="54">
        <v>45755</v>
      </c>
      <c r="E1498" s="42" t="s">
        <v>249</v>
      </c>
      <c r="F1498" s="76" t="s">
        <v>34</v>
      </c>
      <c r="G1498" s="52">
        <v>-2.2599999999999998</v>
      </c>
      <c r="H1498" s="32" t="s">
        <v>2275</v>
      </c>
    </row>
    <row r="1499" spans="1:8" ht="18.75">
      <c r="A1499" t="s">
        <v>2276</v>
      </c>
      <c r="B1499">
        <v>4</v>
      </c>
      <c r="C1499">
        <v>2025</v>
      </c>
      <c r="D1499" s="54">
        <v>45755</v>
      </c>
      <c r="E1499" s="42" t="s">
        <v>249</v>
      </c>
      <c r="F1499" s="76" t="s">
        <v>34</v>
      </c>
      <c r="G1499" s="52">
        <v>-109.09</v>
      </c>
      <c r="H1499" s="32" t="s">
        <v>2275</v>
      </c>
    </row>
    <row r="1500" spans="1:8" ht="18.75">
      <c r="A1500" t="s">
        <v>2277</v>
      </c>
      <c r="B1500">
        <v>4</v>
      </c>
      <c r="C1500">
        <v>2025</v>
      </c>
      <c r="D1500" s="54">
        <v>45755</v>
      </c>
      <c r="E1500" s="42" t="s">
        <v>249</v>
      </c>
      <c r="F1500" s="76" t="s">
        <v>34</v>
      </c>
      <c r="G1500" s="52">
        <v>-232.93</v>
      </c>
      <c r="H1500" s="32" t="s">
        <v>2278</v>
      </c>
    </row>
    <row r="1501" spans="1:8" ht="18.75">
      <c r="A1501" t="s">
        <v>2279</v>
      </c>
      <c r="B1501">
        <v>4</v>
      </c>
      <c r="C1501">
        <v>2025</v>
      </c>
      <c r="D1501" s="54">
        <v>45755</v>
      </c>
      <c r="E1501" s="42" t="s">
        <v>249</v>
      </c>
      <c r="F1501" s="76" t="s">
        <v>58</v>
      </c>
      <c r="G1501" s="52">
        <v>-14.48</v>
      </c>
      <c r="H1501" s="32" t="s">
        <v>282</v>
      </c>
    </row>
    <row r="1502" spans="1:8" ht="18.75">
      <c r="A1502" t="s">
        <v>2280</v>
      </c>
      <c r="B1502">
        <v>4</v>
      </c>
      <c r="C1502">
        <v>2025</v>
      </c>
      <c r="D1502" s="54">
        <v>45755</v>
      </c>
      <c r="E1502" s="42" t="s">
        <v>160</v>
      </c>
      <c r="F1502" s="76" t="s">
        <v>51</v>
      </c>
      <c r="G1502" s="52">
        <v>-125.87</v>
      </c>
      <c r="H1502" s="32" t="s">
        <v>199</v>
      </c>
    </row>
    <row r="1503" spans="1:8" ht="18.75">
      <c r="A1503" t="s">
        <v>2281</v>
      </c>
      <c r="B1503">
        <v>4</v>
      </c>
      <c r="C1503">
        <v>2025</v>
      </c>
      <c r="D1503" s="54">
        <v>45755</v>
      </c>
      <c r="E1503" s="42" t="s">
        <v>249</v>
      </c>
      <c r="F1503" s="76" t="s">
        <v>65</v>
      </c>
      <c r="G1503" s="52">
        <v>-171.72</v>
      </c>
      <c r="H1503" s="32" t="s">
        <v>2282</v>
      </c>
    </row>
    <row r="1504" spans="1:8" ht="18.75">
      <c r="A1504" t="s">
        <v>2283</v>
      </c>
      <c r="B1504">
        <v>4</v>
      </c>
      <c r="C1504">
        <v>2025</v>
      </c>
      <c r="D1504" s="54">
        <v>45756</v>
      </c>
      <c r="E1504" s="42" t="s">
        <v>160</v>
      </c>
      <c r="F1504" s="76" t="s">
        <v>36</v>
      </c>
      <c r="G1504" s="52">
        <v>-62.87</v>
      </c>
      <c r="H1504" s="32" t="s">
        <v>2284</v>
      </c>
    </row>
    <row r="1505" spans="1:9" ht="18.75">
      <c r="A1505" t="s">
        <v>2285</v>
      </c>
      <c r="B1505">
        <v>4</v>
      </c>
      <c r="C1505">
        <v>2025</v>
      </c>
      <c r="D1505" s="54">
        <v>45756</v>
      </c>
      <c r="E1505" s="42" t="s">
        <v>160</v>
      </c>
      <c r="F1505" s="76" t="s">
        <v>79</v>
      </c>
      <c r="G1505" s="52">
        <v>2232.42</v>
      </c>
      <c r="H1505" s="32" t="s">
        <v>1655</v>
      </c>
    </row>
    <row r="1506" spans="1:9" ht="18.75">
      <c r="A1506" t="s">
        <v>2286</v>
      </c>
      <c r="B1506">
        <v>4</v>
      </c>
      <c r="C1506">
        <v>2025</v>
      </c>
      <c r="D1506" s="54">
        <v>45757</v>
      </c>
      <c r="E1506" s="42" t="s">
        <v>249</v>
      </c>
      <c r="F1506" s="76" t="s">
        <v>35</v>
      </c>
      <c r="G1506" s="52">
        <v>-88.14</v>
      </c>
      <c r="H1506" s="32" t="s">
        <v>285</v>
      </c>
    </row>
    <row r="1507" spans="1:9" ht="18.75">
      <c r="A1507" t="s">
        <v>2287</v>
      </c>
      <c r="B1507">
        <v>4</v>
      </c>
      <c r="C1507">
        <v>2025</v>
      </c>
      <c r="D1507" s="54">
        <v>45757</v>
      </c>
      <c r="E1507" s="42" t="s">
        <v>160</v>
      </c>
      <c r="F1507" s="76" t="s">
        <v>79</v>
      </c>
      <c r="G1507" s="52">
        <v>1308.8</v>
      </c>
      <c r="H1507" s="32" t="s">
        <v>190</v>
      </c>
    </row>
    <row r="1508" spans="1:9" ht="18.75">
      <c r="A1508" t="s">
        <v>2288</v>
      </c>
      <c r="B1508">
        <v>4</v>
      </c>
      <c r="C1508">
        <v>2025</v>
      </c>
      <c r="D1508" s="54">
        <v>45757</v>
      </c>
      <c r="E1508" s="42" t="s">
        <v>249</v>
      </c>
      <c r="F1508" s="76" t="s">
        <v>59</v>
      </c>
      <c r="G1508" s="52">
        <v>-18.079999999999998</v>
      </c>
      <c r="H1508" s="32" t="s">
        <v>1802</v>
      </c>
    </row>
    <row r="1509" spans="1:9" ht="18.75">
      <c r="A1509" t="s">
        <v>2289</v>
      </c>
      <c r="B1509">
        <v>4</v>
      </c>
      <c r="C1509">
        <v>2025</v>
      </c>
      <c r="D1509" s="54">
        <v>45757</v>
      </c>
      <c r="E1509" s="42" t="s">
        <v>249</v>
      </c>
      <c r="F1509" s="76" t="s">
        <v>59</v>
      </c>
      <c r="G1509" s="52">
        <v>-13.56</v>
      </c>
      <c r="H1509" s="32" t="s">
        <v>1802</v>
      </c>
    </row>
    <row r="1510" spans="1:9" ht="18.75">
      <c r="A1510" t="s">
        <v>2290</v>
      </c>
      <c r="B1510">
        <v>4</v>
      </c>
      <c r="C1510">
        <v>2025</v>
      </c>
      <c r="D1510" s="54">
        <v>45758</v>
      </c>
      <c r="E1510" s="42" t="s">
        <v>249</v>
      </c>
      <c r="F1510" s="76" t="s">
        <v>32</v>
      </c>
      <c r="G1510" s="52">
        <v>-54.24</v>
      </c>
      <c r="H1510" s="32" t="s">
        <v>1572</v>
      </c>
    </row>
    <row r="1511" spans="1:9" ht="18.75">
      <c r="A1511" t="s">
        <v>2291</v>
      </c>
      <c r="B1511">
        <v>4</v>
      </c>
      <c r="C1511">
        <v>2025</v>
      </c>
      <c r="D1511" s="54">
        <v>45759</v>
      </c>
      <c r="E1511" s="42" t="s">
        <v>249</v>
      </c>
      <c r="F1511" s="76" t="s">
        <v>65</v>
      </c>
      <c r="G1511" s="52">
        <v>-4542.57</v>
      </c>
      <c r="H1511" s="32" t="s">
        <v>601</v>
      </c>
    </row>
    <row r="1512" spans="1:9" ht="18.75">
      <c r="A1512" t="s">
        <v>2292</v>
      </c>
      <c r="B1512">
        <v>4</v>
      </c>
      <c r="C1512">
        <v>2025</v>
      </c>
      <c r="D1512" s="54">
        <v>45759</v>
      </c>
      <c r="E1512" s="42" t="s">
        <v>249</v>
      </c>
      <c r="F1512" s="76" t="s">
        <v>57</v>
      </c>
      <c r="G1512" s="52">
        <v>-152.25</v>
      </c>
      <c r="H1512" s="32" t="s">
        <v>351</v>
      </c>
    </row>
    <row r="1513" spans="1:9" ht="18.75">
      <c r="A1513" t="s">
        <v>2293</v>
      </c>
      <c r="B1513">
        <v>4</v>
      </c>
      <c r="C1513">
        <v>2025</v>
      </c>
      <c r="D1513" s="54">
        <v>45759</v>
      </c>
      <c r="E1513" s="42" t="s">
        <v>249</v>
      </c>
      <c r="F1513" s="76" t="s">
        <v>47</v>
      </c>
      <c r="G1513" s="52">
        <v>-28.17</v>
      </c>
      <c r="H1513" s="32" t="s">
        <v>601</v>
      </c>
      <c r="I1513" s="32" t="s">
        <v>2294</v>
      </c>
    </row>
    <row r="1514" spans="1:9" ht="18.75">
      <c r="A1514" t="s">
        <v>2295</v>
      </c>
      <c r="B1514">
        <v>4</v>
      </c>
      <c r="C1514">
        <v>2025</v>
      </c>
      <c r="D1514" s="54">
        <v>45759</v>
      </c>
      <c r="E1514" s="42" t="s">
        <v>249</v>
      </c>
      <c r="F1514" s="76" t="s">
        <v>54</v>
      </c>
      <c r="G1514" s="52">
        <v>-34.68</v>
      </c>
      <c r="H1514" s="32" t="s">
        <v>662</v>
      </c>
    </row>
    <row r="1515" spans="1:9" ht="18.75">
      <c r="A1515" t="s">
        <v>2296</v>
      </c>
      <c r="B1515">
        <v>4</v>
      </c>
      <c r="C1515">
        <v>2025</v>
      </c>
      <c r="D1515" s="54">
        <v>45759</v>
      </c>
      <c r="E1515" s="42" t="s">
        <v>249</v>
      </c>
      <c r="F1515" s="76" t="s">
        <v>55</v>
      </c>
      <c r="G1515" s="52">
        <v>-35</v>
      </c>
      <c r="H1515" s="32" t="s">
        <v>351</v>
      </c>
    </row>
    <row r="1516" spans="1:9" ht="18.75">
      <c r="A1516" t="s">
        <v>2297</v>
      </c>
      <c r="B1516">
        <v>4</v>
      </c>
      <c r="C1516">
        <v>2025</v>
      </c>
      <c r="D1516" s="54">
        <v>45759</v>
      </c>
      <c r="E1516" s="42" t="s">
        <v>249</v>
      </c>
      <c r="F1516" s="76" t="s">
        <v>56</v>
      </c>
      <c r="G1516" s="52">
        <v>-121.98</v>
      </c>
      <c r="H1516" s="32" t="s">
        <v>601</v>
      </c>
    </row>
    <row r="1517" spans="1:9" ht="18.75">
      <c r="A1517" t="s">
        <v>2298</v>
      </c>
      <c r="B1517">
        <v>4</v>
      </c>
      <c r="C1517">
        <v>2025</v>
      </c>
      <c r="D1517" s="54">
        <v>45760</v>
      </c>
      <c r="E1517" s="42" t="s">
        <v>249</v>
      </c>
      <c r="F1517" s="76" t="s">
        <v>58</v>
      </c>
      <c r="G1517" s="52">
        <v>-13.56</v>
      </c>
      <c r="H1517" s="32" t="s">
        <v>282</v>
      </c>
    </row>
    <row r="1518" spans="1:9" ht="18.75">
      <c r="A1518" t="s">
        <v>2299</v>
      </c>
      <c r="B1518">
        <v>4</v>
      </c>
      <c r="C1518">
        <v>2025</v>
      </c>
      <c r="D1518" s="54">
        <v>45760</v>
      </c>
      <c r="E1518" s="42" t="s">
        <v>249</v>
      </c>
      <c r="F1518" s="76" t="s">
        <v>65</v>
      </c>
      <c r="G1518" s="52">
        <v>-66.67</v>
      </c>
      <c r="H1518" s="32" t="s">
        <v>2300</v>
      </c>
    </row>
    <row r="1519" spans="1:9" ht="18.75">
      <c r="A1519" t="s">
        <v>2301</v>
      </c>
      <c r="B1519">
        <v>4</v>
      </c>
      <c r="C1519">
        <v>2025</v>
      </c>
      <c r="D1519" s="54">
        <v>45760</v>
      </c>
      <c r="E1519" s="42" t="s">
        <v>249</v>
      </c>
      <c r="F1519" s="76" t="s">
        <v>56</v>
      </c>
      <c r="G1519" s="52">
        <v>-42.92</v>
      </c>
      <c r="H1519" s="32" t="s">
        <v>2302</v>
      </c>
    </row>
    <row r="1520" spans="1:9" ht="18.75">
      <c r="A1520" t="s">
        <v>2303</v>
      </c>
      <c r="B1520">
        <v>4</v>
      </c>
      <c r="C1520">
        <v>2025</v>
      </c>
      <c r="D1520" s="54">
        <v>45775</v>
      </c>
      <c r="E1520" s="42" t="s">
        <v>160</v>
      </c>
      <c r="F1520" s="76" t="s">
        <v>49</v>
      </c>
      <c r="G1520" s="52">
        <v>-50</v>
      </c>
      <c r="H1520" s="32" t="s">
        <v>161</v>
      </c>
    </row>
    <row r="1521" spans="1:8" ht="18.75">
      <c r="A1521" t="s">
        <v>2304</v>
      </c>
      <c r="B1521">
        <v>4</v>
      </c>
      <c r="C1521">
        <v>2025</v>
      </c>
      <c r="D1521" s="54">
        <v>45762</v>
      </c>
      <c r="E1521" s="42" t="s">
        <v>160</v>
      </c>
      <c r="F1521" s="76" t="s">
        <v>51</v>
      </c>
      <c r="G1521" s="52">
        <v>-125.57</v>
      </c>
      <c r="H1521" s="32" t="s">
        <v>210</v>
      </c>
    </row>
    <row r="1522" spans="1:8" ht="18.75">
      <c r="A1522" t="s">
        <v>2305</v>
      </c>
      <c r="B1522">
        <v>4</v>
      </c>
      <c r="C1522">
        <v>2025</v>
      </c>
      <c r="D1522" s="54">
        <v>45762</v>
      </c>
      <c r="E1522" s="42" t="s">
        <v>160</v>
      </c>
      <c r="F1522" s="76" t="s">
        <v>64</v>
      </c>
      <c r="G1522" s="52">
        <v>-287</v>
      </c>
      <c r="H1522" s="32" t="s">
        <v>208</v>
      </c>
    </row>
    <row r="1523" spans="1:8" ht="18.75">
      <c r="A1523" t="s">
        <v>2306</v>
      </c>
      <c r="B1523">
        <v>4</v>
      </c>
      <c r="C1523">
        <v>2025</v>
      </c>
      <c r="D1523" s="54">
        <v>45762</v>
      </c>
      <c r="E1523" s="42" t="s">
        <v>160</v>
      </c>
      <c r="F1523" s="76" t="s">
        <v>43</v>
      </c>
      <c r="G1523" s="52">
        <v>-9.0299999999999994</v>
      </c>
      <c r="H1523" s="32" t="s">
        <v>163</v>
      </c>
    </row>
    <row r="1524" spans="1:8" ht="18.75">
      <c r="A1524" t="s">
        <v>2307</v>
      </c>
      <c r="B1524">
        <v>4</v>
      </c>
      <c r="C1524">
        <v>2025</v>
      </c>
      <c r="D1524" s="54">
        <v>45763</v>
      </c>
      <c r="E1524" s="42" t="s">
        <v>249</v>
      </c>
      <c r="F1524" s="76" t="s">
        <v>39</v>
      </c>
      <c r="G1524" s="52">
        <v>-143.51</v>
      </c>
      <c r="H1524" s="32" t="s">
        <v>2308</v>
      </c>
    </row>
    <row r="1525" spans="1:8" ht="18.75">
      <c r="A1525" t="s">
        <v>2309</v>
      </c>
      <c r="B1525">
        <v>4</v>
      </c>
      <c r="C1525">
        <v>2025</v>
      </c>
      <c r="D1525" s="54">
        <v>45763</v>
      </c>
      <c r="E1525" s="42" t="s">
        <v>249</v>
      </c>
      <c r="F1525" s="76" t="s">
        <v>79</v>
      </c>
      <c r="G1525" s="52">
        <v>2058.35</v>
      </c>
      <c r="H1525" s="32" t="s">
        <v>1755</v>
      </c>
    </row>
    <row r="1526" spans="1:8" ht="18.75">
      <c r="A1526" s="77" t="s">
        <v>2310</v>
      </c>
      <c r="B1526">
        <v>4</v>
      </c>
      <c r="C1526">
        <v>2025</v>
      </c>
      <c r="D1526" s="54">
        <v>45763</v>
      </c>
      <c r="E1526" s="42" t="s">
        <v>249</v>
      </c>
      <c r="F1526" s="76" t="s">
        <v>37</v>
      </c>
      <c r="G1526" s="52">
        <v>-15.82</v>
      </c>
      <c r="H1526" s="32" t="s">
        <v>2311</v>
      </c>
    </row>
    <row r="1527" spans="1:8" ht="18.75">
      <c r="A1527" t="s">
        <v>2312</v>
      </c>
      <c r="B1527">
        <v>4</v>
      </c>
      <c r="C1527">
        <v>2025</v>
      </c>
      <c r="D1527" s="54">
        <v>45764</v>
      </c>
      <c r="E1527" s="42" t="s">
        <v>249</v>
      </c>
      <c r="F1527" s="76" t="s">
        <v>34</v>
      </c>
      <c r="G1527" s="52">
        <v>-127.53</v>
      </c>
      <c r="H1527" s="32" t="s">
        <v>2313</v>
      </c>
    </row>
    <row r="1528" spans="1:8" ht="18.75">
      <c r="A1528" t="s">
        <v>2314</v>
      </c>
      <c r="B1528">
        <v>4</v>
      </c>
      <c r="C1528">
        <v>2025</v>
      </c>
      <c r="D1528" s="54">
        <v>45764</v>
      </c>
      <c r="E1528" s="42" t="s">
        <v>160</v>
      </c>
      <c r="F1528" s="76" t="s">
        <v>79</v>
      </c>
      <c r="G1528" s="52">
        <v>-2058.35</v>
      </c>
      <c r="H1528" s="32" t="s">
        <v>214</v>
      </c>
    </row>
    <row r="1529" spans="1:8" ht="18.75">
      <c r="A1529" t="s">
        <v>2315</v>
      </c>
      <c r="B1529">
        <v>4</v>
      </c>
      <c r="C1529">
        <v>2025</v>
      </c>
      <c r="D1529" s="54">
        <v>45764</v>
      </c>
      <c r="E1529" s="42" t="s">
        <v>160</v>
      </c>
      <c r="F1529" s="76" t="s">
        <v>60</v>
      </c>
      <c r="G1529" s="52">
        <v>-87</v>
      </c>
      <c r="H1529" s="32" t="s">
        <v>212</v>
      </c>
    </row>
    <row r="1530" spans="1:8" ht="18.75">
      <c r="A1530" t="s">
        <v>2316</v>
      </c>
      <c r="B1530">
        <v>4</v>
      </c>
      <c r="C1530">
        <v>2025</v>
      </c>
      <c r="D1530" s="54">
        <v>45764</v>
      </c>
      <c r="E1530" s="42" t="s">
        <v>249</v>
      </c>
      <c r="F1530" s="76" t="s">
        <v>54</v>
      </c>
      <c r="G1530" s="52">
        <v>-29.32</v>
      </c>
      <c r="H1530" s="32" t="s">
        <v>2317</v>
      </c>
    </row>
    <row r="1531" spans="1:8" ht="18.75">
      <c r="A1531" t="s">
        <v>2318</v>
      </c>
      <c r="B1531">
        <v>4</v>
      </c>
      <c r="C1531">
        <v>2025</v>
      </c>
      <c r="D1531" s="54">
        <v>45766</v>
      </c>
      <c r="E1531" s="42" t="s">
        <v>249</v>
      </c>
      <c r="F1531" s="76" t="s">
        <v>57</v>
      </c>
      <c r="G1531" s="52">
        <v>-9.98</v>
      </c>
      <c r="H1531" s="32" t="s">
        <v>1172</v>
      </c>
    </row>
    <row r="1532" spans="1:8" ht="18.75">
      <c r="A1532" t="s">
        <v>2319</v>
      </c>
      <c r="B1532">
        <v>4</v>
      </c>
      <c r="C1532">
        <v>2025</v>
      </c>
      <c r="D1532" s="54">
        <v>45768</v>
      </c>
      <c r="E1532" s="42" t="s">
        <v>160</v>
      </c>
      <c r="F1532" s="76" t="s">
        <v>33</v>
      </c>
      <c r="G1532" s="52">
        <v>-443.25</v>
      </c>
      <c r="H1532" s="32" t="s">
        <v>169</v>
      </c>
    </row>
    <row r="1533" spans="1:8" ht="18.75">
      <c r="A1533" t="s">
        <v>2320</v>
      </c>
      <c r="B1533">
        <v>4</v>
      </c>
      <c r="C1533">
        <v>2025</v>
      </c>
      <c r="D1533" s="54">
        <v>45768</v>
      </c>
      <c r="E1533" s="42" t="s">
        <v>160</v>
      </c>
      <c r="F1533" s="76" t="s">
        <v>63</v>
      </c>
      <c r="G1533" s="52">
        <v>-94.57</v>
      </c>
      <c r="H1533" s="32" t="s">
        <v>224</v>
      </c>
    </row>
    <row r="1534" spans="1:8" ht="18.75">
      <c r="A1534" t="s">
        <v>2321</v>
      </c>
      <c r="B1534">
        <v>4</v>
      </c>
      <c r="C1534">
        <v>2025</v>
      </c>
      <c r="D1534" s="54">
        <v>45768</v>
      </c>
      <c r="E1534" s="42" t="s">
        <v>249</v>
      </c>
      <c r="F1534" s="76" t="s">
        <v>59</v>
      </c>
      <c r="G1534" s="52">
        <v>-59.1</v>
      </c>
      <c r="H1534" s="32" t="s">
        <v>1744</v>
      </c>
    </row>
    <row r="1535" spans="1:8" ht="18.75">
      <c r="A1535" t="s">
        <v>2322</v>
      </c>
      <c r="B1535">
        <v>4</v>
      </c>
      <c r="C1535">
        <v>2025</v>
      </c>
      <c r="D1535" s="54">
        <v>45768</v>
      </c>
      <c r="E1535" s="42" t="s">
        <v>249</v>
      </c>
      <c r="F1535" s="76" t="s">
        <v>37</v>
      </c>
      <c r="G1535" s="52">
        <v>-11.16</v>
      </c>
      <c r="H1535" s="32" t="s">
        <v>2323</v>
      </c>
    </row>
    <row r="1536" spans="1:8" ht="18.75">
      <c r="A1536" t="s">
        <v>2324</v>
      </c>
      <c r="B1536">
        <v>4</v>
      </c>
      <c r="C1536">
        <v>2025</v>
      </c>
      <c r="D1536" s="54">
        <v>45769</v>
      </c>
      <c r="E1536" s="42" t="s">
        <v>249</v>
      </c>
      <c r="F1536" s="76" t="s">
        <v>65</v>
      </c>
      <c r="G1536" s="52">
        <v>-106.12</v>
      </c>
      <c r="H1536" s="32" t="s">
        <v>258</v>
      </c>
    </row>
    <row r="1537" spans="1:9" ht="18.75">
      <c r="A1537" t="s">
        <v>2325</v>
      </c>
      <c r="B1537">
        <v>4</v>
      </c>
      <c r="C1537">
        <v>2025</v>
      </c>
      <c r="D1537" s="54">
        <v>45769</v>
      </c>
      <c r="E1537" s="42" t="s">
        <v>249</v>
      </c>
      <c r="F1537" s="76" t="s">
        <v>57</v>
      </c>
      <c r="G1537" s="52">
        <v>-134.91</v>
      </c>
      <c r="H1537" s="32" t="s">
        <v>351</v>
      </c>
    </row>
    <row r="1538" spans="1:9" ht="18.75">
      <c r="A1538" t="s">
        <v>2326</v>
      </c>
      <c r="B1538">
        <v>4</v>
      </c>
      <c r="C1538">
        <v>2025</v>
      </c>
      <c r="D1538" s="54">
        <v>45769</v>
      </c>
      <c r="E1538" s="42" t="s">
        <v>146</v>
      </c>
      <c r="F1538" s="76" t="s">
        <v>47</v>
      </c>
      <c r="G1538" s="52">
        <v>-40</v>
      </c>
      <c r="H1538" s="32" t="s">
        <v>2327</v>
      </c>
      <c r="I1538" s="32" t="s">
        <v>2328</v>
      </c>
    </row>
    <row r="1539" spans="1:9" ht="18.75">
      <c r="A1539" t="s">
        <v>2329</v>
      </c>
      <c r="B1539">
        <v>4</v>
      </c>
      <c r="C1539">
        <v>2025</v>
      </c>
      <c r="D1539" s="54">
        <v>45770</v>
      </c>
      <c r="E1539" s="42" t="s">
        <v>160</v>
      </c>
      <c r="F1539" s="76" t="s">
        <v>79</v>
      </c>
      <c r="G1539" s="52">
        <v>2402.6999999999998</v>
      </c>
      <c r="H1539" s="32" t="s">
        <v>1655</v>
      </c>
    </row>
    <row r="1540" spans="1:9" ht="18.75">
      <c r="A1540" t="s">
        <v>2330</v>
      </c>
      <c r="B1540">
        <v>4</v>
      </c>
      <c r="C1540">
        <v>2025</v>
      </c>
      <c r="D1540" s="54">
        <v>45770</v>
      </c>
      <c r="E1540" s="42" t="s">
        <v>249</v>
      </c>
      <c r="F1540" s="76" t="s">
        <v>47</v>
      </c>
      <c r="G1540" s="52">
        <v>-25.96</v>
      </c>
      <c r="H1540" s="32" t="s">
        <v>2331</v>
      </c>
    </row>
    <row r="1541" spans="1:9" ht="18.75">
      <c r="A1541" t="s">
        <v>2332</v>
      </c>
      <c r="B1541">
        <v>4</v>
      </c>
      <c r="C1541">
        <v>2025</v>
      </c>
      <c r="D1541" s="54">
        <v>45771</v>
      </c>
      <c r="E1541" s="42" t="s">
        <v>160</v>
      </c>
      <c r="F1541" s="76" t="s">
        <v>79</v>
      </c>
      <c r="G1541" s="52">
        <v>1319.99</v>
      </c>
      <c r="H1541" s="32" t="s">
        <v>190</v>
      </c>
    </row>
    <row r="1542" spans="1:9" ht="18.75">
      <c r="A1542" t="s">
        <v>2333</v>
      </c>
      <c r="B1542">
        <v>4</v>
      </c>
      <c r="C1542">
        <v>2025</v>
      </c>
      <c r="D1542" s="54">
        <v>45771</v>
      </c>
      <c r="E1542" s="42" t="s">
        <v>249</v>
      </c>
      <c r="F1542" s="76" t="s">
        <v>65</v>
      </c>
      <c r="G1542" s="52">
        <v>-85.87</v>
      </c>
      <c r="H1542" s="32" t="s">
        <v>601</v>
      </c>
    </row>
    <row r="1543" spans="1:9" ht="18.75">
      <c r="A1543" t="s">
        <v>2334</v>
      </c>
      <c r="B1543">
        <v>4</v>
      </c>
      <c r="C1543">
        <v>2025</v>
      </c>
      <c r="D1543" s="54">
        <v>45771</v>
      </c>
      <c r="E1543" s="42" t="s">
        <v>160</v>
      </c>
      <c r="F1543" s="76" t="s">
        <v>29</v>
      </c>
      <c r="G1543" s="52">
        <v>-221.5</v>
      </c>
      <c r="H1543" s="32" t="s">
        <v>167</v>
      </c>
    </row>
    <row r="1544" spans="1:9" ht="18.75">
      <c r="A1544" t="s">
        <v>2335</v>
      </c>
      <c r="B1544">
        <v>4</v>
      </c>
      <c r="C1544">
        <v>2025</v>
      </c>
      <c r="D1544" s="54">
        <v>45772</v>
      </c>
      <c r="E1544" s="42" t="s">
        <v>249</v>
      </c>
      <c r="F1544" s="76" t="s">
        <v>52</v>
      </c>
      <c r="G1544" s="52">
        <v>-11.29</v>
      </c>
      <c r="H1544" s="32" t="s">
        <v>2336</v>
      </c>
    </row>
    <row r="1545" spans="1:9" ht="18.75">
      <c r="A1545" t="s">
        <v>2337</v>
      </c>
      <c r="B1545">
        <v>4</v>
      </c>
      <c r="C1545">
        <v>2025</v>
      </c>
      <c r="D1545" s="54">
        <v>45772</v>
      </c>
      <c r="E1545" s="42" t="s">
        <v>160</v>
      </c>
      <c r="F1545" s="76" t="s">
        <v>48</v>
      </c>
      <c r="G1545" s="52">
        <v>-4</v>
      </c>
      <c r="H1545" s="32" t="s">
        <v>228</v>
      </c>
    </row>
    <row r="1546" spans="1:9" ht="18.75">
      <c r="A1546" t="s">
        <v>2338</v>
      </c>
      <c r="B1546">
        <v>4</v>
      </c>
      <c r="C1546">
        <v>2025</v>
      </c>
      <c r="D1546" s="54">
        <v>45772</v>
      </c>
      <c r="E1546" s="42" t="s">
        <v>160</v>
      </c>
      <c r="F1546" s="76" t="s">
        <v>48</v>
      </c>
      <c r="G1546" s="52">
        <v>-8.75</v>
      </c>
      <c r="H1546" s="32" t="s">
        <v>746</v>
      </c>
    </row>
    <row r="1547" spans="1:9" ht="18.75">
      <c r="A1547" t="s">
        <v>2339</v>
      </c>
      <c r="B1547">
        <v>4</v>
      </c>
      <c r="C1547">
        <v>2025</v>
      </c>
      <c r="D1547" s="54">
        <v>45772</v>
      </c>
      <c r="E1547" s="42" t="s">
        <v>249</v>
      </c>
      <c r="F1547" s="76" t="s">
        <v>47</v>
      </c>
      <c r="G1547" s="52">
        <v>-146.88999999999999</v>
      </c>
      <c r="H1547" s="32" t="s">
        <v>2340</v>
      </c>
    </row>
    <row r="1548" spans="1:9" ht="18.75">
      <c r="A1548" t="s">
        <v>2341</v>
      </c>
      <c r="B1548">
        <v>4</v>
      </c>
      <c r="C1548">
        <v>2025</v>
      </c>
      <c r="D1548" s="54">
        <v>45773</v>
      </c>
      <c r="E1548" s="42" t="s">
        <v>249</v>
      </c>
      <c r="F1548" s="76" t="s">
        <v>62</v>
      </c>
      <c r="G1548" s="52">
        <v>-42.69</v>
      </c>
      <c r="H1548" s="32" t="s">
        <v>2342</v>
      </c>
    </row>
    <row r="1549" spans="1:9" ht="18.75">
      <c r="A1549" t="s">
        <v>2343</v>
      </c>
      <c r="B1549">
        <v>4</v>
      </c>
      <c r="C1549">
        <v>2025</v>
      </c>
      <c r="D1549" s="54">
        <v>45775</v>
      </c>
      <c r="E1549" s="42" t="s">
        <v>249</v>
      </c>
      <c r="F1549" s="76" t="s">
        <v>58</v>
      </c>
      <c r="G1549" s="52">
        <v>-52.55</v>
      </c>
      <c r="H1549" s="32" t="s">
        <v>308</v>
      </c>
    </row>
    <row r="1550" spans="1:9" ht="18.75">
      <c r="A1550" t="s">
        <v>2344</v>
      </c>
      <c r="B1550">
        <v>4</v>
      </c>
      <c r="C1550">
        <v>2025</v>
      </c>
      <c r="D1550" s="54">
        <v>45775</v>
      </c>
      <c r="E1550" s="42" t="s">
        <v>249</v>
      </c>
      <c r="F1550" s="76" t="s">
        <v>58</v>
      </c>
      <c r="G1550" s="52">
        <v>-26.42</v>
      </c>
      <c r="H1550" s="32" t="s">
        <v>2114</v>
      </c>
    </row>
    <row r="1551" spans="1:9" ht="18.75">
      <c r="A1551" t="s">
        <v>2345</v>
      </c>
      <c r="B1551">
        <v>5</v>
      </c>
      <c r="C1551">
        <v>2025</v>
      </c>
      <c r="D1551" s="54">
        <v>45778</v>
      </c>
      <c r="E1551" s="42" t="s">
        <v>160</v>
      </c>
      <c r="F1551" s="76" t="s">
        <v>49</v>
      </c>
      <c r="G1551" s="52">
        <v>-50</v>
      </c>
      <c r="H1551" s="32" t="s">
        <v>173</v>
      </c>
    </row>
    <row r="1552" spans="1:9" ht="18.75">
      <c r="A1552" t="s">
        <v>2346</v>
      </c>
      <c r="B1552">
        <v>4</v>
      </c>
      <c r="C1552">
        <v>2025</v>
      </c>
      <c r="D1552" s="54">
        <v>45775</v>
      </c>
      <c r="E1552" s="42" t="s">
        <v>249</v>
      </c>
      <c r="F1552" s="76" t="s">
        <v>57</v>
      </c>
      <c r="G1552" s="52">
        <v>-27.06</v>
      </c>
      <c r="H1552" s="32" t="s">
        <v>2114</v>
      </c>
    </row>
    <row r="1553" spans="1:8" ht="18.75">
      <c r="A1553" t="s">
        <v>2347</v>
      </c>
      <c r="B1553">
        <v>4</v>
      </c>
      <c r="C1553">
        <v>2025</v>
      </c>
      <c r="D1553" s="54">
        <v>45775</v>
      </c>
      <c r="E1553" s="42" t="s">
        <v>249</v>
      </c>
      <c r="F1553" s="76" t="s">
        <v>57</v>
      </c>
      <c r="G1553" s="52">
        <v>-96.9</v>
      </c>
      <c r="H1553" s="32" t="s">
        <v>351</v>
      </c>
    </row>
    <row r="1554" spans="1:8" ht="18.75">
      <c r="A1554" t="s">
        <v>2348</v>
      </c>
      <c r="B1554">
        <v>4</v>
      </c>
      <c r="C1554">
        <v>2025</v>
      </c>
      <c r="D1554" s="54">
        <v>45775</v>
      </c>
      <c r="E1554" s="42" t="s">
        <v>249</v>
      </c>
      <c r="F1554" s="76" t="s">
        <v>55</v>
      </c>
      <c r="G1554" s="52">
        <v>-130.49</v>
      </c>
      <c r="H1554" s="32" t="s">
        <v>356</v>
      </c>
    </row>
    <row r="1555" spans="1:8" ht="18.75">
      <c r="A1555" t="s">
        <v>2349</v>
      </c>
      <c r="B1555">
        <v>4</v>
      </c>
      <c r="C1555">
        <v>2025</v>
      </c>
      <c r="D1555" s="54">
        <v>45776</v>
      </c>
      <c r="E1555" s="42" t="s">
        <v>160</v>
      </c>
      <c r="F1555" s="76" t="s">
        <v>43</v>
      </c>
      <c r="G1555" s="52">
        <v>-9.0299999999999994</v>
      </c>
      <c r="H1555" s="32" t="s">
        <v>163</v>
      </c>
    </row>
    <row r="1556" spans="1:8" ht="18.75">
      <c r="A1556" t="s">
        <v>2350</v>
      </c>
      <c r="B1556">
        <v>4</v>
      </c>
      <c r="C1556">
        <v>2025</v>
      </c>
      <c r="D1556" s="54">
        <v>45777</v>
      </c>
      <c r="E1556" s="42" t="s">
        <v>249</v>
      </c>
      <c r="F1556" s="76" t="s">
        <v>32</v>
      </c>
      <c r="G1556" s="52">
        <v>-45</v>
      </c>
      <c r="H1556" s="32" t="s">
        <v>265</v>
      </c>
    </row>
    <row r="1557" spans="1:8" ht="18.75">
      <c r="A1557" t="s">
        <v>2351</v>
      </c>
      <c r="B1557">
        <v>4</v>
      </c>
      <c r="C1557">
        <v>2025</v>
      </c>
      <c r="D1557" s="54">
        <v>45777</v>
      </c>
      <c r="E1557" s="42" t="s">
        <v>249</v>
      </c>
      <c r="F1557" s="76" t="s">
        <v>62</v>
      </c>
      <c r="G1557" s="52">
        <v>-49</v>
      </c>
      <c r="H1557" s="32" t="s">
        <v>2352</v>
      </c>
    </row>
    <row r="1558" spans="1:8" ht="18.75">
      <c r="A1558" t="s">
        <v>2353</v>
      </c>
      <c r="B1558">
        <v>4</v>
      </c>
      <c r="C1558">
        <v>2025</v>
      </c>
      <c r="D1558" s="54">
        <v>45777</v>
      </c>
      <c r="E1558" s="42" t="s">
        <v>249</v>
      </c>
      <c r="F1558" s="76" t="s">
        <v>50</v>
      </c>
      <c r="G1558" s="52">
        <v>-49.12</v>
      </c>
      <c r="H1558" s="32" t="s">
        <v>2354</v>
      </c>
    </row>
    <row r="1559" spans="1:8" ht="18.75">
      <c r="A1559" t="s">
        <v>2355</v>
      </c>
      <c r="B1559">
        <v>5</v>
      </c>
      <c r="C1559">
        <v>2025</v>
      </c>
      <c r="D1559" s="54">
        <v>45789</v>
      </c>
      <c r="E1559" s="42" t="s">
        <v>160</v>
      </c>
      <c r="F1559" s="76" t="s">
        <v>49</v>
      </c>
      <c r="G1559" s="52">
        <v>-50</v>
      </c>
      <c r="H1559" s="32" t="s">
        <v>161</v>
      </c>
    </row>
    <row r="1560" spans="1:8" ht="18.75">
      <c r="A1560" t="s">
        <v>2356</v>
      </c>
      <c r="B1560">
        <v>5</v>
      </c>
      <c r="C1560">
        <v>2025</v>
      </c>
      <c r="D1560" s="54">
        <v>45778</v>
      </c>
      <c r="E1560" s="42" t="s">
        <v>146</v>
      </c>
      <c r="F1560" s="76" t="s">
        <v>48</v>
      </c>
      <c r="G1560" s="52">
        <v>5.85</v>
      </c>
      <c r="H1560" s="32" t="s">
        <v>175</v>
      </c>
    </row>
    <row r="1561" spans="1:8" ht="18.75">
      <c r="A1561" t="s">
        <v>2357</v>
      </c>
      <c r="B1561">
        <v>5</v>
      </c>
      <c r="C1561">
        <v>2025</v>
      </c>
      <c r="D1561" s="54">
        <v>45778</v>
      </c>
      <c r="E1561" s="42" t="s">
        <v>160</v>
      </c>
      <c r="F1561" s="76" t="s">
        <v>79</v>
      </c>
      <c r="G1561" s="52">
        <v>-2492.83</v>
      </c>
      <c r="H1561" s="32" t="s">
        <v>2358</v>
      </c>
    </row>
    <row r="1562" spans="1:8" ht="18.75">
      <c r="A1562" t="s">
        <v>2359</v>
      </c>
      <c r="B1562">
        <v>5</v>
      </c>
      <c r="C1562">
        <v>2025</v>
      </c>
      <c r="D1562" s="54">
        <v>45778</v>
      </c>
      <c r="E1562" s="42" t="s">
        <v>146</v>
      </c>
      <c r="F1562" s="76" t="s">
        <v>79</v>
      </c>
      <c r="G1562" s="52">
        <v>2492.83</v>
      </c>
      <c r="H1562" s="32" t="s">
        <v>2360</v>
      </c>
    </row>
    <row r="1563" spans="1:8" ht="18.75">
      <c r="A1563" t="s">
        <v>2361</v>
      </c>
      <c r="B1563">
        <v>5</v>
      </c>
      <c r="C1563">
        <v>2025</v>
      </c>
      <c r="D1563" s="54">
        <v>45778</v>
      </c>
      <c r="E1563" s="42" t="s">
        <v>160</v>
      </c>
      <c r="F1563" s="76" t="s">
        <v>40</v>
      </c>
      <c r="G1563" s="52">
        <v>-100</v>
      </c>
      <c r="H1563" s="32" t="s">
        <v>2362</v>
      </c>
    </row>
    <row r="1564" spans="1:8" ht="18.75">
      <c r="A1564" t="s">
        <v>2363</v>
      </c>
      <c r="B1564">
        <v>5</v>
      </c>
      <c r="C1564">
        <v>2025</v>
      </c>
      <c r="D1564" s="54">
        <v>45778</v>
      </c>
      <c r="E1564" s="42" t="s">
        <v>160</v>
      </c>
      <c r="F1564" s="76" t="s">
        <v>40</v>
      </c>
      <c r="G1564" s="52">
        <v>-200</v>
      </c>
      <c r="H1564" s="32" t="s">
        <v>2364</v>
      </c>
    </row>
    <row r="1565" spans="1:8" ht="18.75">
      <c r="A1565" t="s">
        <v>2365</v>
      </c>
      <c r="B1565">
        <v>5</v>
      </c>
      <c r="C1565">
        <v>2025</v>
      </c>
      <c r="D1565" s="54">
        <v>45779</v>
      </c>
      <c r="E1565" s="42" t="s">
        <v>249</v>
      </c>
      <c r="F1565" s="76" t="s">
        <v>34</v>
      </c>
      <c r="G1565" s="52">
        <v>-19.489999999999998</v>
      </c>
      <c r="H1565" s="32" t="s">
        <v>2366</v>
      </c>
    </row>
    <row r="1566" spans="1:8" ht="18.75">
      <c r="A1566" t="s">
        <v>2367</v>
      </c>
      <c r="B1566">
        <v>5</v>
      </c>
      <c r="C1566">
        <v>2025</v>
      </c>
      <c r="D1566" s="54">
        <v>45779</v>
      </c>
      <c r="E1566" s="42" t="s">
        <v>249</v>
      </c>
      <c r="F1566" s="76" t="s">
        <v>34</v>
      </c>
      <c r="G1566" s="52">
        <v>-47.34</v>
      </c>
      <c r="H1566" s="32" t="s">
        <v>2368</v>
      </c>
    </row>
    <row r="1567" spans="1:8" ht="18.75">
      <c r="A1567" t="s">
        <v>2369</v>
      </c>
      <c r="B1567">
        <v>5</v>
      </c>
      <c r="C1567">
        <v>2025</v>
      </c>
      <c r="D1567" s="54">
        <v>45779</v>
      </c>
      <c r="E1567" s="42" t="s">
        <v>249</v>
      </c>
      <c r="F1567" s="76" t="s">
        <v>34</v>
      </c>
      <c r="G1567" s="52">
        <v>-16.559999999999999</v>
      </c>
      <c r="H1567" s="32" t="s">
        <v>2370</v>
      </c>
    </row>
    <row r="1568" spans="1:8" ht="18.75">
      <c r="A1568" t="s">
        <v>2371</v>
      </c>
      <c r="B1568">
        <v>5</v>
      </c>
      <c r="C1568">
        <v>2025</v>
      </c>
      <c r="D1568" s="54">
        <v>45779</v>
      </c>
      <c r="E1568" s="42" t="s">
        <v>249</v>
      </c>
      <c r="F1568" s="76" t="s">
        <v>34</v>
      </c>
      <c r="G1568" s="52">
        <v>-22.22</v>
      </c>
      <c r="H1568" s="32" t="s">
        <v>2370</v>
      </c>
    </row>
    <row r="1569" spans="1:8" ht="18.75">
      <c r="A1569" t="s">
        <v>2372</v>
      </c>
      <c r="B1569">
        <v>5</v>
      </c>
      <c r="C1569">
        <v>2025</v>
      </c>
      <c r="D1569" s="54">
        <v>45779</v>
      </c>
      <c r="E1569" s="42" t="s">
        <v>249</v>
      </c>
      <c r="F1569" s="76" t="s">
        <v>34</v>
      </c>
      <c r="G1569" s="52">
        <v>-10.16</v>
      </c>
      <c r="H1569" s="32" t="s">
        <v>2373</v>
      </c>
    </row>
    <row r="1570" spans="1:8" ht="18.75">
      <c r="A1570" t="s">
        <v>2374</v>
      </c>
      <c r="B1570">
        <v>5</v>
      </c>
      <c r="C1570">
        <v>2025</v>
      </c>
      <c r="D1570" s="54">
        <v>45779</v>
      </c>
      <c r="E1570" s="42" t="s">
        <v>160</v>
      </c>
      <c r="F1570" s="76" t="s">
        <v>33</v>
      </c>
      <c r="G1570" s="52">
        <v>-443.25</v>
      </c>
      <c r="H1570" s="32" t="s">
        <v>169</v>
      </c>
    </row>
    <row r="1571" spans="1:8" ht="18.75">
      <c r="A1571" t="s">
        <v>2375</v>
      </c>
      <c r="B1571">
        <v>5</v>
      </c>
      <c r="C1571">
        <v>2025</v>
      </c>
      <c r="D1571" s="54">
        <v>45779</v>
      </c>
      <c r="E1571" s="42" t="s">
        <v>160</v>
      </c>
      <c r="F1571" s="76" t="s">
        <v>40</v>
      </c>
      <c r="G1571" s="52">
        <v>-100</v>
      </c>
      <c r="H1571" s="32" t="s">
        <v>2376</v>
      </c>
    </row>
    <row r="1572" spans="1:8" ht="18.75">
      <c r="A1572" t="s">
        <v>2377</v>
      </c>
      <c r="B1572">
        <v>5</v>
      </c>
      <c r="C1572">
        <v>2025</v>
      </c>
      <c r="D1572" s="54">
        <v>45780</v>
      </c>
      <c r="E1572" s="42" t="s">
        <v>249</v>
      </c>
      <c r="F1572" s="76" t="s">
        <v>34</v>
      </c>
      <c r="G1572" s="52">
        <v>-11.75</v>
      </c>
      <c r="H1572" s="32" t="s">
        <v>2378</v>
      </c>
    </row>
    <row r="1573" spans="1:8" ht="18.75">
      <c r="A1573" t="s">
        <v>2379</v>
      </c>
      <c r="B1573">
        <v>5</v>
      </c>
      <c r="C1573">
        <v>2025</v>
      </c>
      <c r="D1573" s="54">
        <v>45780</v>
      </c>
      <c r="E1573" s="42" t="s">
        <v>249</v>
      </c>
      <c r="F1573" s="76" t="s">
        <v>34</v>
      </c>
      <c r="G1573" s="52">
        <v>-26.62</v>
      </c>
      <c r="H1573" s="32" t="s">
        <v>2373</v>
      </c>
    </row>
    <row r="1574" spans="1:8" ht="18.75">
      <c r="A1574" t="s">
        <v>2380</v>
      </c>
      <c r="B1574">
        <v>5</v>
      </c>
      <c r="C1574">
        <v>2025</v>
      </c>
      <c r="D1574" s="54">
        <v>45780</v>
      </c>
      <c r="E1574" s="42" t="s">
        <v>249</v>
      </c>
      <c r="F1574" s="76" t="s">
        <v>34</v>
      </c>
      <c r="G1574" s="52">
        <v>-39.78</v>
      </c>
      <c r="H1574" s="32" t="s">
        <v>2381</v>
      </c>
    </row>
    <row r="1575" spans="1:8" ht="18.75">
      <c r="A1575" t="s">
        <v>2382</v>
      </c>
      <c r="B1575">
        <v>5</v>
      </c>
      <c r="C1575">
        <v>2025</v>
      </c>
      <c r="D1575" s="54">
        <v>45780</v>
      </c>
      <c r="E1575" s="42" t="s">
        <v>249</v>
      </c>
      <c r="F1575" s="76" t="s">
        <v>34</v>
      </c>
      <c r="G1575" s="52">
        <v>-67.180000000000007</v>
      </c>
      <c r="H1575" s="32" t="s">
        <v>2381</v>
      </c>
    </row>
    <row r="1576" spans="1:8" ht="18.75">
      <c r="A1576" s="77" t="s">
        <v>2383</v>
      </c>
      <c r="B1576">
        <v>5</v>
      </c>
      <c r="C1576">
        <v>2025</v>
      </c>
      <c r="D1576" s="54">
        <v>45780</v>
      </c>
      <c r="E1576" s="42" t="s">
        <v>249</v>
      </c>
      <c r="F1576" s="76" t="s">
        <v>34</v>
      </c>
      <c r="G1576" s="52">
        <v>-34.799999999999997</v>
      </c>
      <c r="H1576" s="32" t="s">
        <v>2384</v>
      </c>
    </row>
    <row r="1577" spans="1:8" ht="18.75">
      <c r="A1577" t="s">
        <v>2385</v>
      </c>
      <c r="B1577">
        <v>5</v>
      </c>
      <c r="C1577">
        <v>2025</v>
      </c>
      <c r="D1577" s="54">
        <v>45780</v>
      </c>
      <c r="E1577" s="42" t="s">
        <v>249</v>
      </c>
      <c r="F1577" s="76" t="s">
        <v>34</v>
      </c>
      <c r="G1577" s="52">
        <v>-42.25</v>
      </c>
      <c r="H1577" s="32" t="s">
        <v>2386</v>
      </c>
    </row>
    <row r="1578" spans="1:8" ht="18.75">
      <c r="A1578" t="s">
        <v>2387</v>
      </c>
      <c r="B1578">
        <v>5</v>
      </c>
      <c r="C1578">
        <v>2025</v>
      </c>
      <c r="D1578" s="54">
        <v>45781</v>
      </c>
      <c r="E1578" s="42" t="s">
        <v>249</v>
      </c>
      <c r="F1578" s="76" t="s">
        <v>34</v>
      </c>
      <c r="G1578" s="52">
        <v>-3.5</v>
      </c>
      <c r="H1578" s="32" t="s">
        <v>2388</v>
      </c>
    </row>
    <row r="1579" spans="1:8" ht="18.75">
      <c r="A1579" t="s">
        <v>2389</v>
      </c>
      <c r="B1579">
        <v>5</v>
      </c>
      <c r="C1579">
        <v>2025</v>
      </c>
      <c r="D1579" s="54">
        <v>45781</v>
      </c>
      <c r="E1579" s="42" t="s">
        <v>249</v>
      </c>
      <c r="F1579" s="76" t="s">
        <v>34</v>
      </c>
      <c r="G1579" s="52">
        <v>-8.11</v>
      </c>
      <c r="H1579" s="32" t="s">
        <v>2390</v>
      </c>
    </row>
    <row r="1580" spans="1:8" ht="18.75">
      <c r="A1580" t="s">
        <v>2391</v>
      </c>
      <c r="B1580">
        <v>5</v>
      </c>
      <c r="C1580">
        <v>2025</v>
      </c>
      <c r="D1580" s="54">
        <v>45781</v>
      </c>
      <c r="E1580" s="42" t="s">
        <v>249</v>
      </c>
      <c r="F1580" s="76" t="s">
        <v>47</v>
      </c>
      <c r="G1580" s="52">
        <v>-79.09</v>
      </c>
      <c r="H1580" s="32" t="s">
        <v>2392</v>
      </c>
    </row>
    <row r="1581" spans="1:8" ht="18.75">
      <c r="A1581" t="s">
        <v>2393</v>
      </c>
      <c r="B1581">
        <v>5</v>
      </c>
      <c r="C1581">
        <v>2025</v>
      </c>
      <c r="D1581" s="54">
        <v>45782</v>
      </c>
      <c r="E1581" s="42" t="s">
        <v>160</v>
      </c>
      <c r="F1581" s="76" t="s">
        <v>30</v>
      </c>
      <c r="G1581" s="52">
        <v>-230.75</v>
      </c>
      <c r="H1581" s="32" t="s">
        <v>196</v>
      </c>
    </row>
    <row r="1582" spans="1:8" ht="18.75">
      <c r="A1582" t="s">
        <v>2394</v>
      </c>
      <c r="B1582">
        <v>5</v>
      </c>
      <c r="C1582">
        <v>2025</v>
      </c>
      <c r="D1582" s="54">
        <v>45782</v>
      </c>
      <c r="E1582" s="42" t="s">
        <v>249</v>
      </c>
      <c r="F1582" s="76" t="s">
        <v>57</v>
      </c>
      <c r="G1582" s="52">
        <v>-82.51</v>
      </c>
      <c r="H1582" s="32" t="s">
        <v>351</v>
      </c>
    </row>
    <row r="1583" spans="1:8" ht="18.75">
      <c r="A1583" t="s">
        <v>2395</v>
      </c>
      <c r="B1583">
        <v>5</v>
      </c>
      <c r="C1583">
        <v>2025</v>
      </c>
      <c r="D1583" s="54">
        <v>45783</v>
      </c>
      <c r="E1583" s="42" t="s">
        <v>249</v>
      </c>
      <c r="F1583" s="76" t="s">
        <v>46</v>
      </c>
      <c r="G1583" s="52">
        <v>-20</v>
      </c>
      <c r="H1583" s="32" t="s">
        <v>268</v>
      </c>
    </row>
    <row r="1584" spans="1:8" ht="18.75">
      <c r="A1584" t="s">
        <v>2396</v>
      </c>
      <c r="B1584">
        <v>5</v>
      </c>
      <c r="C1584">
        <v>2025</v>
      </c>
      <c r="D1584" s="54">
        <v>45783</v>
      </c>
      <c r="E1584" s="42" t="s">
        <v>249</v>
      </c>
      <c r="F1584" s="76" t="s">
        <v>58</v>
      </c>
      <c r="G1584" s="52">
        <v>-38.36</v>
      </c>
      <c r="H1584" s="32" t="s">
        <v>282</v>
      </c>
    </row>
    <row r="1585" spans="1:9" ht="18.75">
      <c r="A1585" t="s">
        <v>2397</v>
      </c>
      <c r="B1585">
        <v>5</v>
      </c>
      <c r="C1585">
        <v>2025</v>
      </c>
      <c r="D1585" s="54">
        <v>45784</v>
      </c>
      <c r="E1585" s="42" t="s">
        <v>160</v>
      </c>
      <c r="F1585" s="76" t="s">
        <v>36</v>
      </c>
      <c r="G1585" s="52">
        <v>-66.52</v>
      </c>
      <c r="H1585" s="32" t="s">
        <v>2398</v>
      </c>
    </row>
    <row r="1586" spans="1:9" ht="18.75">
      <c r="A1586" t="s">
        <v>2399</v>
      </c>
      <c r="B1586">
        <v>5</v>
      </c>
      <c r="C1586">
        <v>2025</v>
      </c>
      <c r="D1586" s="54">
        <v>45784</v>
      </c>
      <c r="E1586" s="42" t="s">
        <v>160</v>
      </c>
      <c r="F1586" s="76" t="s">
        <v>79</v>
      </c>
      <c r="G1586" s="52">
        <v>2388.1</v>
      </c>
      <c r="H1586" s="32" t="s">
        <v>1655</v>
      </c>
    </row>
    <row r="1587" spans="1:9" ht="18.75">
      <c r="A1587" t="s">
        <v>2400</v>
      </c>
      <c r="B1587">
        <v>5</v>
      </c>
      <c r="C1587">
        <v>2025</v>
      </c>
      <c r="D1587" s="54">
        <v>45784</v>
      </c>
      <c r="E1587" s="42" t="s">
        <v>160</v>
      </c>
      <c r="F1587" s="76" t="s">
        <v>47</v>
      </c>
      <c r="G1587" s="52">
        <v>-40</v>
      </c>
      <c r="H1587" s="32" t="s">
        <v>334</v>
      </c>
      <c r="I1587" s="32" t="s">
        <v>2401</v>
      </c>
    </row>
    <row r="1588" spans="1:9" ht="18.75">
      <c r="A1588" t="s">
        <v>2402</v>
      </c>
      <c r="B1588">
        <v>5</v>
      </c>
      <c r="C1588">
        <v>2025</v>
      </c>
      <c r="D1588" s="54">
        <v>45784</v>
      </c>
      <c r="E1588" s="42" t="s">
        <v>249</v>
      </c>
      <c r="F1588" s="76" t="s">
        <v>42</v>
      </c>
      <c r="G1588" s="52">
        <v>-25.98</v>
      </c>
      <c r="H1588" s="32" t="s">
        <v>278</v>
      </c>
    </row>
    <row r="1589" spans="1:9" ht="18.75">
      <c r="B1589">
        <v>5</v>
      </c>
      <c r="C1589">
        <v>2025</v>
      </c>
      <c r="D1589" s="54">
        <v>45785</v>
      </c>
      <c r="F1589" s="76" t="s">
        <v>34</v>
      </c>
      <c r="G1589" s="52">
        <f>(G1590+G1591)*-1</f>
        <v>360.63</v>
      </c>
      <c r="I1589" s="32" t="s">
        <v>1181</v>
      </c>
    </row>
    <row r="1590" spans="1:9" ht="18.75">
      <c r="B1590">
        <v>5</v>
      </c>
      <c r="C1590">
        <v>2025</v>
      </c>
      <c r="D1590" s="54">
        <v>45785</v>
      </c>
      <c r="F1590" s="76" t="s">
        <v>62</v>
      </c>
      <c r="G1590" s="52">
        <v>-160.63</v>
      </c>
      <c r="I1590" s="32" t="s">
        <v>1181</v>
      </c>
    </row>
    <row r="1591" spans="1:9" ht="18.75">
      <c r="B1591">
        <v>5</v>
      </c>
      <c r="C1591">
        <v>2025</v>
      </c>
      <c r="D1591" s="54">
        <v>45785</v>
      </c>
      <c r="F1591" s="76" t="s">
        <v>59</v>
      </c>
      <c r="G1591" s="52">
        <v>-200</v>
      </c>
      <c r="I1591" s="32" t="s">
        <v>1181</v>
      </c>
    </row>
    <row r="1592" spans="1:9" ht="18.75">
      <c r="B1592">
        <v>5</v>
      </c>
      <c r="C1592">
        <v>2025</v>
      </c>
      <c r="D1592" s="54">
        <v>45785</v>
      </c>
      <c r="F1592" s="76"/>
      <c r="G1592" s="52"/>
      <c r="I1592" s="32" t="s">
        <v>2403</v>
      </c>
    </row>
    <row r="1593" spans="1:9" ht="18.75">
      <c r="B1593">
        <v>5</v>
      </c>
      <c r="C1593">
        <v>2025</v>
      </c>
      <c r="D1593" s="54">
        <v>45785</v>
      </c>
      <c r="F1593" s="76" t="s">
        <v>39</v>
      </c>
      <c r="G1593" s="52">
        <v>95.99</v>
      </c>
      <c r="I1593" s="32" t="s">
        <v>1181</v>
      </c>
    </row>
    <row r="1594" spans="1:9" ht="18.75">
      <c r="B1594">
        <v>5</v>
      </c>
      <c r="C1594">
        <v>2025</v>
      </c>
      <c r="D1594" s="54">
        <v>45785</v>
      </c>
      <c r="F1594" s="76" t="s">
        <v>65</v>
      </c>
      <c r="G1594" s="52">
        <v>4000</v>
      </c>
      <c r="I1594" s="32" t="s">
        <v>2404</v>
      </c>
    </row>
    <row r="1595" spans="1:9" ht="18.75">
      <c r="B1595">
        <v>5</v>
      </c>
      <c r="C1595">
        <v>2025</v>
      </c>
      <c r="D1595" s="54">
        <v>45785</v>
      </c>
      <c r="F1595" s="76" t="s">
        <v>44</v>
      </c>
      <c r="G1595" s="52">
        <v>-15.93</v>
      </c>
      <c r="I1595" s="32" t="s">
        <v>1181</v>
      </c>
    </row>
    <row r="1596" spans="1:9" ht="18.75">
      <c r="B1596">
        <v>5</v>
      </c>
      <c r="C1596">
        <v>2025</v>
      </c>
      <c r="D1596" s="54">
        <v>45785</v>
      </c>
      <c r="F1596" s="76" t="s">
        <v>30</v>
      </c>
      <c r="G1596" s="52">
        <v>15.93</v>
      </c>
      <c r="I1596" s="32" t="s">
        <v>1181</v>
      </c>
    </row>
    <row r="1597" spans="1:9" ht="18.75">
      <c r="B1597">
        <v>5</v>
      </c>
      <c r="C1597">
        <v>2025</v>
      </c>
      <c r="D1597" s="54">
        <v>45785</v>
      </c>
      <c r="F1597" s="76" t="s">
        <v>44</v>
      </c>
      <c r="G1597" s="52">
        <v>-95.99</v>
      </c>
      <c r="I1597" s="32" t="s">
        <v>1181</v>
      </c>
    </row>
    <row r="1598" spans="1:9" ht="18.75">
      <c r="A1598" t="s">
        <v>2405</v>
      </c>
      <c r="B1598">
        <v>5</v>
      </c>
      <c r="C1598">
        <v>2025</v>
      </c>
      <c r="D1598" s="54">
        <v>45785</v>
      </c>
      <c r="E1598" s="42" t="s">
        <v>160</v>
      </c>
      <c r="F1598" s="76" t="s">
        <v>79</v>
      </c>
      <c r="G1598" s="52">
        <v>1319.99</v>
      </c>
      <c r="H1598" s="32" t="s">
        <v>190</v>
      </c>
    </row>
    <row r="1599" spans="1:9" ht="18.75">
      <c r="A1599" t="s">
        <v>2406</v>
      </c>
      <c r="B1599">
        <v>5</v>
      </c>
      <c r="C1599">
        <v>2025</v>
      </c>
      <c r="D1599" s="54">
        <v>45785</v>
      </c>
      <c r="E1599" s="42" t="s">
        <v>160</v>
      </c>
      <c r="F1599" s="76" t="s">
        <v>51</v>
      </c>
      <c r="G1599" s="52">
        <v>-125.87</v>
      </c>
      <c r="H1599" s="32" t="s">
        <v>199</v>
      </c>
    </row>
    <row r="1600" spans="1:9" ht="18.75">
      <c r="A1600" t="s">
        <v>2407</v>
      </c>
      <c r="B1600">
        <v>5</v>
      </c>
      <c r="C1600">
        <v>2025</v>
      </c>
      <c r="D1600" s="54">
        <v>45785</v>
      </c>
      <c r="E1600" s="42" t="s">
        <v>249</v>
      </c>
      <c r="F1600" s="76" t="s">
        <v>79</v>
      </c>
      <c r="G1600" s="52">
        <v>9705.7999999999993</v>
      </c>
      <c r="H1600" s="32" t="s">
        <v>402</v>
      </c>
    </row>
    <row r="1601" spans="1:8" ht="18.75">
      <c r="A1601" t="s">
        <v>2408</v>
      </c>
      <c r="B1601">
        <v>5</v>
      </c>
      <c r="C1601">
        <v>2025</v>
      </c>
      <c r="D1601" s="54">
        <v>45786</v>
      </c>
      <c r="E1601" s="42" t="s">
        <v>160</v>
      </c>
      <c r="F1601" s="76" t="s">
        <v>79</v>
      </c>
      <c r="G1601" s="52">
        <v>6339.41</v>
      </c>
      <c r="H1601" s="32" t="s">
        <v>2409</v>
      </c>
    </row>
    <row r="1602" spans="1:8" ht="18.75">
      <c r="A1602" t="s">
        <v>2410</v>
      </c>
      <c r="B1602">
        <v>5</v>
      </c>
      <c r="C1602">
        <v>2025</v>
      </c>
      <c r="D1602" s="54">
        <v>45786</v>
      </c>
      <c r="E1602" s="42" t="s">
        <v>160</v>
      </c>
      <c r="F1602" s="76" t="s">
        <v>79</v>
      </c>
      <c r="G1602" s="52">
        <v>-9705.7999999999993</v>
      </c>
      <c r="H1602" s="32" t="s">
        <v>2411</v>
      </c>
    </row>
    <row r="1603" spans="1:8" ht="18.75">
      <c r="A1603" t="s">
        <v>2412</v>
      </c>
      <c r="B1603">
        <v>5</v>
      </c>
      <c r="C1603">
        <v>2025</v>
      </c>
      <c r="D1603" s="54">
        <v>45786</v>
      </c>
      <c r="E1603" s="42" t="s">
        <v>146</v>
      </c>
      <c r="F1603" s="76" t="s">
        <v>79</v>
      </c>
      <c r="G1603" s="52">
        <v>-6339.41</v>
      </c>
      <c r="H1603" s="32" t="s">
        <v>2413</v>
      </c>
    </row>
    <row r="1604" spans="1:8" ht="18.75">
      <c r="A1604" t="s">
        <v>2414</v>
      </c>
      <c r="B1604">
        <v>5</v>
      </c>
      <c r="C1604">
        <v>2025</v>
      </c>
      <c r="D1604" s="54">
        <v>45786</v>
      </c>
      <c r="E1604" s="42" t="s">
        <v>249</v>
      </c>
      <c r="F1604" s="76" t="s">
        <v>35</v>
      </c>
      <c r="G1604" s="52">
        <v>-91.53</v>
      </c>
      <c r="H1604" s="32" t="s">
        <v>285</v>
      </c>
    </row>
    <row r="1605" spans="1:8" ht="18.75">
      <c r="A1605" t="s">
        <v>2415</v>
      </c>
      <c r="B1605">
        <v>5</v>
      </c>
      <c r="C1605">
        <v>2025</v>
      </c>
      <c r="D1605" s="54">
        <v>45786</v>
      </c>
      <c r="E1605" s="42" t="s">
        <v>249</v>
      </c>
      <c r="F1605" s="76" t="s">
        <v>59</v>
      </c>
      <c r="G1605" s="52">
        <v>-62.75</v>
      </c>
      <c r="H1605" s="32" t="s">
        <v>2416</v>
      </c>
    </row>
    <row r="1606" spans="1:8" ht="18.75">
      <c r="A1606" t="s">
        <v>2417</v>
      </c>
      <c r="B1606">
        <v>5</v>
      </c>
      <c r="C1606">
        <v>2025</v>
      </c>
      <c r="D1606" s="54">
        <v>45787</v>
      </c>
      <c r="E1606" s="42" t="s">
        <v>249</v>
      </c>
      <c r="F1606" s="76" t="s">
        <v>57</v>
      </c>
      <c r="G1606" s="52">
        <v>-39.46</v>
      </c>
      <c r="H1606" s="32" t="s">
        <v>351</v>
      </c>
    </row>
    <row r="1607" spans="1:8" ht="18.75">
      <c r="A1607" t="s">
        <v>2418</v>
      </c>
      <c r="B1607">
        <v>5</v>
      </c>
      <c r="C1607">
        <v>2025</v>
      </c>
      <c r="D1607" s="54">
        <v>45787</v>
      </c>
      <c r="E1607" s="42" t="s">
        <v>249</v>
      </c>
      <c r="F1607" s="76" t="s">
        <v>57</v>
      </c>
      <c r="G1607" s="52">
        <v>-197.67</v>
      </c>
      <c r="H1607" s="32" t="s">
        <v>351</v>
      </c>
    </row>
    <row r="1608" spans="1:8" ht="18.75">
      <c r="A1608" t="s">
        <v>2419</v>
      </c>
      <c r="B1608">
        <v>5</v>
      </c>
      <c r="C1608">
        <v>2025</v>
      </c>
      <c r="D1608" s="54">
        <v>45787</v>
      </c>
      <c r="E1608" s="42" t="s">
        <v>249</v>
      </c>
      <c r="F1608" s="76" t="s">
        <v>65</v>
      </c>
      <c r="G1608" s="52">
        <v>-77.97</v>
      </c>
      <c r="H1608" s="32" t="s">
        <v>601</v>
      </c>
    </row>
    <row r="1609" spans="1:8" ht="18.75">
      <c r="A1609" t="s">
        <v>2420</v>
      </c>
      <c r="B1609">
        <v>5</v>
      </c>
      <c r="C1609">
        <v>2025</v>
      </c>
      <c r="D1609" s="54">
        <v>45787</v>
      </c>
      <c r="E1609" s="42" t="s">
        <v>249</v>
      </c>
      <c r="F1609" s="76" t="s">
        <v>57</v>
      </c>
      <c r="G1609" s="52">
        <v>-7.9</v>
      </c>
      <c r="H1609" s="32" t="s">
        <v>1172</v>
      </c>
    </row>
    <row r="1610" spans="1:8" ht="18.75">
      <c r="A1610" t="s">
        <v>2421</v>
      </c>
      <c r="B1610">
        <v>5</v>
      </c>
      <c r="C1610">
        <v>2025</v>
      </c>
      <c r="D1610" s="54">
        <v>45788</v>
      </c>
      <c r="E1610" s="42" t="s">
        <v>249</v>
      </c>
      <c r="F1610" s="76" t="s">
        <v>57</v>
      </c>
      <c r="G1610" s="52">
        <v>-4.99</v>
      </c>
      <c r="H1610" s="32" t="s">
        <v>2422</v>
      </c>
    </row>
    <row r="1611" spans="1:8" ht="18.75">
      <c r="A1611" t="s">
        <v>2423</v>
      </c>
      <c r="B1611">
        <v>5</v>
      </c>
      <c r="C1611">
        <v>2025</v>
      </c>
      <c r="D1611" s="54">
        <v>45788</v>
      </c>
      <c r="E1611" s="42" t="s">
        <v>249</v>
      </c>
      <c r="F1611" s="76" t="s">
        <v>65</v>
      </c>
      <c r="G1611" s="52">
        <v>-112.99</v>
      </c>
      <c r="H1611" s="32" t="s">
        <v>601</v>
      </c>
    </row>
    <row r="1612" spans="1:8" ht="18.75">
      <c r="A1612" t="s">
        <v>2424</v>
      </c>
      <c r="B1612">
        <v>5</v>
      </c>
      <c r="C1612">
        <v>2025</v>
      </c>
      <c r="D1612" s="54">
        <v>45803</v>
      </c>
      <c r="E1612" s="42" t="s">
        <v>160</v>
      </c>
      <c r="F1612" s="76" t="s">
        <v>49</v>
      </c>
      <c r="G1612" s="52">
        <v>-50</v>
      </c>
      <c r="H1612" s="32" t="s">
        <v>161</v>
      </c>
    </row>
    <row r="1613" spans="1:8" ht="18.75">
      <c r="A1613" t="s">
        <v>2425</v>
      </c>
      <c r="B1613">
        <v>5</v>
      </c>
      <c r="C1613">
        <v>2025</v>
      </c>
      <c r="D1613" s="54">
        <v>45789</v>
      </c>
      <c r="E1613" s="42" t="s">
        <v>249</v>
      </c>
      <c r="F1613" s="76" t="s">
        <v>66</v>
      </c>
      <c r="G1613" s="52">
        <v>-1.5</v>
      </c>
      <c r="H1613" s="32" t="s">
        <v>616</v>
      </c>
    </row>
    <row r="1614" spans="1:8" ht="18.75">
      <c r="A1614" t="s">
        <v>2426</v>
      </c>
      <c r="B1614">
        <v>5</v>
      </c>
      <c r="C1614">
        <v>2025</v>
      </c>
      <c r="D1614" s="54">
        <v>45789</v>
      </c>
      <c r="E1614" s="42" t="s">
        <v>249</v>
      </c>
      <c r="F1614" s="76" t="s">
        <v>48</v>
      </c>
      <c r="G1614" s="52">
        <v>-5</v>
      </c>
      <c r="H1614" s="32" t="s">
        <v>2427</v>
      </c>
    </row>
    <row r="1615" spans="1:8" ht="18.75">
      <c r="A1615" t="s">
        <v>2428</v>
      </c>
      <c r="B1615">
        <v>5</v>
      </c>
      <c r="C1615">
        <v>2025</v>
      </c>
      <c r="D1615" s="54">
        <v>45789</v>
      </c>
      <c r="E1615" s="42" t="s">
        <v>249</v>
      </c>
      <c r="F1615" s="76" t="s">
        <v>65</v>
      </c>
      <c r="G1615" s="52">
        <v>-67.8</v>
      </c>
      <c r="H1615" s="32" t="s">
        <v>601</v>
      </c>
    </row>
    <row r="1616" spans="1:8" ht="18.75">
      <c r="A1616" s="77" t="s">
        <v>2429</v>
      </c>
      <c r="B1616">
        <v>5</v>
      </c>
      <c r="C1616">
        <v>2025</v>
      </c>
      <c r="D1616" s="54">
        <v>45789</v>
      </c>
      <c r="E1616" s="42" t="s">
        <v>249</v>
      </c>
      <c r="F1616" s="76" t="s">
        <v>65</v>
      </c>
      <c r="G1616" s="52">
        <v>-120.39</v>
      </c>
      <c r="H1616" s="32" t="s">
        <v>258</v>
      </c>
    </row>
    <row r="1617" spans="1:8" ht="18.75">
      <c r="A1617" t="s">
        <v>2430</v>
      </c>
      <c r="B1617">
        <v>5</v>
      </c>
      <c r="C1617">
        <v>2025</v>
      </c>
      <c r="D1617" s="54">
        <v>45789</v>
      </c>
      <c r="E1617" s="42" t="s">
        <v>249</v>
      </c>
      <c r="F1617" s="76" t="s">
        <v>65</v>
      </c>
      <c r="G1617" s="52">
        <v>-94.85</v>
      </c>
      <c r="H1617" s="32" t="s">
        <v>258</v>
      </c>
    </row>
    <row r="1618" spans="1:8" ht="18.75">
      <c r="A1618" t="s">
        <v>2431</v>
      </c>
      <c r="B1618">
        <v>5</v>
      </c>
      <c r="C1618">
        <v>2025</v>
      </c>
      <c r="D1618" s="54">
        <v>45789</v>
      </c>
      <c r="E1618" s="42" t="s">
        <v>249</v>
      </c>
      <c r="F1618" s="76" t="s">
        <v>65</v>
      </c>
      <c r="G1618" s="52">
        <v>-33.83</v>
      </c>
      <c r="H1618" s="32" t="s">
        <v>258</v>
      </c>
    </row>
    <row r="1619" spans="1:8" ht="18.75">
      <c r="A1619" t="s">
        <v>2432</v>
      </c>
      <c r="B1619">
        <v>5</v>
      </c>
      <c r="C1619">
        <v>2025</v>
      </c>
      <c r="D1619" s="54">
        <v>45789</v>
      </c>
      <c r="E1619" s="42" t="s">
        <v>249</v>
      </c>
      <c r="F1619" s="76" t="s">
        <v>65</v>
      </c>
      <c r="G1619" s="52">
        <v>-11.28</v>
      </c>
      <c r="H1619" s="32" t="s">
        <v>258</v>
      </c>
    </row>
    <row r="1620" spans="1:8" ht="18.75">
      <c r="A1620" t="s">
        <v>2433</v>
      </c>
      <c r="B1620">
        <v>5</v>
      </c>
      <c r="C1620">
        <v>2025</v>
      </c>
      <c r="D1620" s="54">
        <v>45790</v>
      </c>
      <c r="E1620" s="42" t="s">
        <v>160</v>
      </c>
      <c r="F1620" s="76" t="s">
        <v>43</v>
      </c>
      <c r="G1620" s="52">
        <v>-9.0299999999999994</v>
      </c>
      <c r="H1620" s="32" t="s">
        <v>163</v>
      </c>
    </row>
    <row r="1621" spans="1:8" ht="18.75">
      <c r="A1621" t="s">
        <v>2434</v>
      </c>
      <c r="B1621">
        <v>5</v>
      </c>
      <c r="C1621">
        <v>2025</v>
      </c>
      <c r="D1621" s="54">
        <v>45790</v>
      </c>
      <c r="E1621" s="42" t="s">
        <v>249</v>
      </c>
      <c r="F1621" s="76" t="s">
        <v>45</v>
      </c>
      <c r="G1621" s="52">
        <v>-49.35</v>
      </c>
      <c r="H1621" s="32" t="s">
        <v>2435</v>
      </c>
    </row>
    <row r="1622" spans="1:8" ht="18.75">
      <c r="A1622" t="s">
        <v>2436</v>
      </c>
      <c r="B1622">
        <v>5</v>
      </c>
      <c r="C1622">
        <v>2025</v>
      </c>
      <c r="D1622" s="54">
        <v>45790</v>
      </c>
      <c r="E1622" s="42" t="s">
        <v>249</v>
      </c>
      <c r="F1622" s="76" t="s">
        <v>54</v>
      </c>
      <c r="G1622" s="52">
        <v>-11.3</v>
      </c>
      <c r="H1622" s="32" t="s">
        <v>631</v>
      </c>
    </row>
    <row r="1623" spans="1:8" ht="18.75">
      <c r="A1623" t="s">
        <v>2437</v>
      </c>
      <c r="B1623">
        <v>5</v>
      </c>
      <c r="C1623">
        <v>2025</v>
      </c>
      <c r="D1623" s="54">
        <v>45791</v>
      </c>
      <c r="E1623" s="42" t="s">
        <v>249</v>
      </c>
      <c r="F1623" s="76" t="s">
        <v>57</v>
      </c>
      <c r="G1623" s="52">
        <v>-105.28</v>
      </c>
      <c r="H1623" s="32" t="s">
        <v>1826</v>
      </c>
    </row>
    <row r="1624" spans="1:8" ht="18.75">
      <c r="A1624" t="s">
        <v>2438</v>
      </c>
      <c r="B1624">
        <v>5</v>
      </c>
      <c r="C1624">
        <v>2025</v>
      </c>
      <c r="D1624" s="54">
        <v>45792</v>
      </c>
      <c r="E1624" s="42" t="s">
        <v>160</v>
      </c>
      <c r="F1624" s="76" t="s">
        <v>51</v>
      </c>
      <c r="G1624" s="52">
        <v>-125.57</v>
      </c>
      <c r="H1624" s="32" t="s">
        <v>210</v>
      </c>
    </row>
    <row r="1625" spans="1:8" ht="18.75">
      <c r="A1625" t="s">
        <v>2439</v>
      </c>
      <c r="B1625">
        <v>5</v>
      </c>
      <c r="C1625">
        <v>2025</v>
      </c>
      <c r="D1625" s="54">
        <v>45792</v>
      </c>
      <c r="E1625" s="42" t="s">
        <v>160</v>
      </c>
      <c r="F1625" s="76" t="s">
        <v>64</v>
      </c>
      <c r="G1625" s="52">
        <v>-287</v>
      </c>
      <c r="H1625" s="32" t="s">
        <v>208</v>
      </c>
    </row>
    <row r="1626" spans="1:8" ht="18.75">
      <c r="A1626" t="s">
        <v>2440</v>
      </c>
      <c r="B1626">
        <v>5</v>
      </c>
      <c r="C1626">
        <v>2025</v>
      </c>
      <c r="D1626" s="54">
        <v>45792</v>
      </c>
      <c r="E1626" s="42" t="s">
        <v>249</v>
      </c>
      <c r="F1626" s="76" t="s">
        <v>45</v>
      </c>
      <c r="G1626" s="52">
        <v>-57.61</v>
      </c>
      <c r="H1626" s="32" t="s">
        <v>1521</v>
      </c>
    </row>
    <row r="1627" spans="1:8" ht="18.75">
      <c r="A1627" t="s">
        <v>2441</v>
      </c>
      <c r="B1627">
        <v>5</v>
      </c>
      <c r="C1627">
        <v>2025</v>
      </c>
      <c r="D1627" s="54">
        <v>45793</v>
      </c>
      <c r="E1627" s="42" t="s">
        <v>160</v>
      </c>
      <c r="F1627" s="76" t="s">
        <v>33</v>
      </c>
      <c r="G1627" s="52">
        <v>-443.25</v>
      </c>
      <c r="H1627" s="32" t="s">
        <v>169</v>
      </c>
    </row>
    <row r="1628" spans="1:8" ht="18.75">
      <c r="A1628" t="s">
        <v>2442</v>
      </c>
      <c r="B1628">
        <v>5</v>
      </c>
      <c r="C1628">
        <v>2025</v>
      </c>
      <c r="D1628" s="54">
        <v>45793</v>
      </c>
      <c r="E1628" s="42" t="s">
        <v>249</v>
      </c>
      <c r="F1628" s="76" t="s">
        <v>39</v>
      </c>
      <c r="G1628" s="52">
        <v>-125.43</v>
      </c>
      <c r="H1628" s="32" t="s">
        <v>2308</v>
      </c>
    </row>
    <row r="1629" spans="1:8" ht="18.75">
      <c r="A1629" t="s">
        <v>2443</v>
      </c>
      <c r="B1629">
        <v>5</v>
      </c>
      <c r="C1629">
        <v>2025</v>
      </c>
      <c r="D1629" s="54">
        <v>45794</v>
      </c>
      <c r="E1629" s="42" t="s">
        <v>249</v>
      </c>
      <c r="F1629" s="76" t="s">
        <v>54</v>
      </c>
      <c r="G1629" s="52">
        <v>-8.24</v>
      </c>
      <c r="H1629" s="32" t="s">
        <v>587</v>
      </c>
    </row>
    <row r="1630" spans="1:8" ht="18.75">
      <c r="A1630" t="s">
        <v>2444</v>
      </c>
      <c r="B1630">
        <v>5</v>
      </c>
      <c r="C1630">
        <v>2025</v>
      </c>
      <c r="D1630" s="54">
        <v>45794</v>
      </c>
      <c r="E1630" s="42" t="s">
        <v>249</v>
      </c>
      <c r="F1630" s="76" t="s">
        <v>65</v>
      </c>
      <c r="G1630" s="52">
        <v>-38.28</v>
      </c>
      <c r="H1630" s="32" t="s">
        <v>601</v>
      </c>
    </row>
    <row r="1631" spans="1:8" ht="18.75">
      <c r="A1631" t="s">
        <v>2445</v>
      </c>
      <c r="B1631">
        <v>5</v>
      </c>
      <c r="C1631">
        <v>2025</v>
      </c>
      <c r="D1631" s="54">
        <v>45794</v>
      </c>
      <c r="E1631" s="42" t="s">
        <v>249</v>
      </c>
      <c r="F1631" s="76" t="s">
        <v>54</v>
      </c>
      <c r="G1631" s="52">
        <v>-9.0500000000000007</v>
      </c>
      <c r="H1631" s="32" t="s">
        <v>551</v>
      </c>
    </row>
    <row r="1632" spans="1:8" ht="18.75">
      <c r="A1632" t="s">
        <v>2446</v>
      </c>
      <c r="B1632">
        <v>5</v>
      </c>
      <c r="C1632">
        <v>2025</v>
      </c>
      <c r="D1632" s="54">
        <v>45794</v>
      </c>
      <c r="E1632" s="42" t="s">
        <v>249</v>
      </c>
      <c r="F1632" s="76" t="s">
        <v>57</v>
      </c>
      <c r="G1632" s="52">
        <v>-43.67</v>
      </c>
      <c r="H1632" s="32" t="s">
        <v>1172</v>
      </c>
    </row>
    <row r="1633" spans="1:8" ht="18.75">
      <c r="A1633" t="s">
        <v>2447</v>
      </c>
      <c r="B1633">
        <v>5</v>
      </c>
      <c r="C1633">
        <v>2025</v>
      </c>
      <c r="D1633" s="54">
        <v>45795</v>
      </c>
      <c r="E1633" s="42" t="s">
        <v>249</v>
      </c>
      <c r="F1633" s="76" t="s">
        <v>47</v>
      </c>
      <c r="G1633" s="52">
        <v>-32.630000000000003</v>
      </c>
      <c r="H1633" s="32" t="s">
        <v>282</v>
      </c>
    </row>
    <row r="1634" spans="1:8" ht="18.75">
      <c r="A1634" t="s">
        <v>2448</v>
      </c>
      <c r="B1634">
        <v>5</v>
      </c>
      <c r="C1634">
        <v>2025</v>
      </c>
      <c r="D1634" s="54">
        <v>45797</v>
      </c>
      <c r="E1634" s="42" t="s">
        <v>160</v>
      </c>
      <c r="F1634" s="76" t="s">
        <v>60</v>
      </c>
      <c r="G1634" s="52">
        <v>-87.71</v>
      </c>
      <c r="H1634" s="32" t="s">
        <v>212</v>
      </c>
    </row>
    <row r="1635" spans="1:8" ht="18.75">
      <c r="A1635" t="s">
        <v>2449</v>
      </c>
      <c r="B1635">
        <v>5</v>
      </c>
      <c r="C1635">
        <v>2025</v>
      </c>
      <c r="D1635" s="54">
        <v>45797</v>
      </c>
      <c r="E1635" s="42" t="s">
        <v>146</v>
      </c>
      <c r="F1635" s="76" t="s">
        <v>50</v>
      </c>
      <c r="G1635" s="52">
        <v>-101</v>
      </c>
      <c r="H1635" s="32" t="s">
        <v>2450</v>
      </c>
    </row>
    <row r="1636" spans="1:8" ht="18.75">
      <c r="A1636" t="s">
        <v>2451</v>
      </c>
      <c r="B1636">
        <v>5</v>
      </c>
      <c r="C1636">
        <v>2025</v>
      </c>
      <c r="D1636" s="54">
        <v>45797</v>
      </c>
      <c r="E1636" s="42" t="s">
        <v>249</v>
      </c>
      <c r="F1636" s="76" t="s">
        <v>66</v>
      </c>
      <c r="G1636" s="52">
        <v>-6</v>
      </c>
      <c r="H1636" s="32" t="s">
        <v>1577</v>
      </c>
    </row>
    <row r="1637" spans="1:8" ht="18.75">
      <c r="A1637" t="s">
        <v>2452</v>
      </c>
      <c r="B1637">
        <v>5</v>
      </c>
      <c r="C1637">
        <v>2025</v>
      </c>
      <c r="D1637" s="54">
        <v>45798</v>
      </c>
      <c r="E1637" s="42" t="s">
        <v>160</v>
      </c>
      <c r="F1637" s="76" t="s">
        <v>79</v>
      </c>
      <c r="G1637" s="52">
        <v>2343.0100000000002</v>
      </c>
      <c r="H1637" s="32" t="s">
        <v>1655</v>
      </c>
    </row>
    <row r="1638" spans="1:8" ht="18.75">
      <c r="A1638" t="s">
        <v>2453</v>
      </c>
      <c r="B1638">
        <v>5</v>
      </c>
      <c r="C1638">
        <v>2025</v>
      </c>
      <c r="D1638" s="54">
        <v>45798</v>
      </c>
      <c r="E1638" s="42" t="s">
        <v>249</v>
      </c>
      <c r="F1638" s="76" t="s">
        <v>57</v>
      </c>
      <c r="G1638" s="52">
        <v>-218.16</v>
      </c>
      <c r="H1638" s="32" t="s">
        <v>282</v>
      </c>
    </row>
    <row r="1639" spans="1:8" ht="18.75">
      <c r="A1639" t="s">
        <v>2454</v>
      </c>
      <c r="B1639">
        <v>5</v>
      </c>
      <c r="C1639">
        <v>2025</v>
      </c>
      <c r="D1639" s="54">
        <v>45798</v>
      </c>
      <c r="E1639" s="42" t="s">
        <v>249</v>
      </c>
      <c r="F1639" s="76" t="s">
        <v>52</v>
      </c>
      <c r="G1639" s="52">
        <v>-19.190000000000001</v>
      </c>
      <c r="H1639" s="32" t="s">
        <v>282</v>
      </c>
    </row>
    <row r="1640" spans="1:8" ht="18.75">
      <c r="A1640" t="s">
        <v>2455</v>
      </c>
      <c r="B1640">
        <v>5</v>
      </c>
      <c r="C1640">
        <v>2025</v>
      </c>
      <c r="D1640" s="54">
        <v>45798</v>
      </c>
      <c r="E1640" s="42" t="s">
        <v>249</v>
      </c>
      <c r="F1640" s="76" t="s">
        <v>32</v>
      </c>
      <c r="G1640" s="52">
        <v>-64.290000000000006</v>
      </c>
      <c r="H1640" s="32" t="s">
        <v>1572</v>
      </c>
    </row>
    <row r="1641" spans="1:8" ht="18.75">
      <c r="A1641" t="s">
        <v>2456</v>
      </c>
      <c r="B1641">
        <v>5</v>
      </c>
      <c r="C1641">
        <v>2025</v>
      </c>
      <c r="D1641" s="54">
        <v>45798</v>
      </c>
      <c r="E1641" s="42" t="s">
        <v>249</v>
      </c>
      <c r="F1641" s="76" t="s">
        <v>65</v>
      </c>
      <c r="G1641" s="52">
        <v>-90.39</v>
      </c>
      <c r="H1641" s="32" t="s">
        <v>601</v>
      </c>
    </row>
    <row r="1642" spans="1:8" ht="18.75">
      <c r="A1642" t="s">
        <v>2457</v>
      </c>
      <c r="B1642">
        <v>5</v>
      </c>
      <c r="C1642">
        <v>2025</v>
      </c>
      <c r="D1642" s="54">
        <v>45799</v>
      </c>
      <c r="E1642" s="42" t="s">
        <v>160</v>
      </c>
      <c r="F1642" s="76" t="s">
        <v>79</v>
      </c>
      <c r="G1642" s="52">
        <v>1319.99</v>
      </c>
      <c r="H1642" s="32" t="s">
        <v>190</v>
      </c>
    </row>
    <row r="1643" spans="1:8" ht="18.75">
      <c r="A1643" t="s">
        <v>2458</v>
      </c>
      <c r="B1643">
        <v>5</v>
      </c>
      <c r="C1643">
        <v>2025</v>
      </c>
      <c r="D1643" s="54">
        <v>45799</v>
      </c>
      <c r="E1643" s="42" t="s">
        <v>160</v>
      </c>
      <c r="F1643" s="76" t="s">
        <v>63</v>
      </c>
      <c r="G1643" s="52">
        <v>-93.15</v>
      </c>
      <c r="H1643" s="32" t="s">
        <v>224</v>
      </c>
    </row>
    <row r="1644" spans="1:8" ht="18.75">
      <c r="A1644" t="s">
        <v>2459</v>
      </c>
      <c r="B1644">
        <v>5</v>
      </c>
      <c r="C1644">
        <v>2025</v>
      </c>
      <c r="D1644" s="54">
        <v>45799</v>
      </c>
      <c r="E1644" s="42" t="s">
        <v>249</v>
      </c>
      <c r="F1644" s="76" t="s">
        <v>65</v>
      </c>
      <c r="G1644" s="52">
        <v>-281.08999999999997</v>
      </c>
      <c r="H1644" s="32" t="s">
        <v>601</v>
      </c>
    </row>
    <row r="1645" spans="1:8" ht="18.75">
      <c r="A1645" t="s">
        <v>2460</v>
      </c>
      <c r="B1645">
        <v>5</v>
      </c>
      <c r="C1645">
        <v>2025</v>
      </c>
      <c r="D1645" s="54">
        <v>45800</v>
      </c>
      <c r="E1645" s="42" t="s">
        <v>160</v>
      </c>
      <c r="F1645" s="76" t="s">
        <v>48</v>
      </c>
      <c r="G1645" s="52">
        <v>-4</v>
      </c>
      <c r="H1645" s="32" t="s">
        <v>228</v>
      </c>
    </row>
    <row r="1646" spans="1:8" ht="18.75">
      <c r="A1646" t="s">
        <v>2461</v>
      </c>
      <c r="B1646">
        <v>5</v>
      </c>
      <c r="C1646">
        <v>2025</v>
      </c>
      <c r="D1646" s="54">
        <v>45800</v>
      </c>
      <c r="E1646" s="42" t="s">
        <v>160</v>
      </c>
      <c r="F1646" s="76" t="s">
        <v>48</v>
      </c>
      <c r="G1646" s="52">
        <v>-6.25</v>
      </c>
      <c r="H1646" s="32" t="s">
        <v>345</v>
      </c>
    </row>
    <row r="1647" spans="1:8" ht="18.75">
      <c r="A1647" t="s">
        <v>2462</v>
      </c>
      <c r="B1647">
        <v>5</v>
      </c>
      <c r="C1647">
        <v>2025</v>
      </c>
      <c r="D1647" s="54">
        <v>45800</v>
      </c>
      <c r="E1647" s="42" t="s">
        <v>249</v>
      </c>
      <c r="F1647" s="76" t="s">
        <v>65</v>
      </c>
      <c r="G1647" s="52">
        <v>-123.97</v>
      </c>
      <c r="H1647" s="32" t="s">
        <v>2463</v>
      </c>
    </row>
    <row r="1648" spans="1:8" ht="18.75">
      <c r="A1648" t="s">
        <v>2464</v>
      </c>
      <c r="B1648">
        <v>5</v>
      </c>
      <c r="C1648">
        <v>2025</v>
      </c>
      <c r="D1648" s="54">
        <v>45800</v>
      </c>
      <c r="E1648" s="42" t="s">
        <v>249</v>
      </c>
      <c r="F1648" s="76" t="s">
        <v>57</v>
      </c>
      <c r="G1648" s="52">
        <v>-23.57</v>
      </c>
      <c r="H1648" s="32" t="s">
        <v>351</v>
      </c>
    </row>
    <row r="1649" spans="1:8" ht="18.75">
      <c r="A1649" t="s">
        <v>2465</v>
      </c>
      <c r="B1649">
        <v>5</v>
      </c>
      <c r="C1649">
        <v>2025</v>
      </c>
      <c r="D1649" s="54">
        <v>45802</v>
      </c>
      <c r="E1649" s="42" t="s">
        <v>249</v>
      </c>
      <c r="F1649" s="76" t="s">
        <v>57</v>
      </c>
      <c r="G1649" s="52">
        <v>-107.86</v>
      </c>
      <c r="H1649" s="32" t="s">
        <v>351</v>
      </c>
    </row>
    <row r="1650" spans="1:8" ht="18.75">
      <c r="A1650" t="s">
        <v>2466</v>
      </c>
      <c r="B1650">
        <v>5</v>
      </c>
      <c r="C1650">
        <v>2025</v>
      </c>
      <c r="D1650" s="54">
        <v>45802</v>
      </c>
      <c r="E1650" s="42" t="s">
        <v>249</v>
      </c>
      <c r="F1650" s="76" t="s">
        <v>32</v>
      </c>
      <c r="G1650" s="52">
        <v>-106.95</v>
      </c>
      <c r="H1650" s="32" t="s">
        <v>554</v>
      </c>
    </row>
    <row r="1651" spans="1:8" ht="18.75">
      <c r="A1651" t="s">
        <v>2467</v>
      </c>
      <c r="B1651">
        <v>5</v>
      </c>
      <c r="C1651">
        <v>2025</v>
      </c>
      <c r="D1651" s="54">
        <v>45802</v>
      </c>
      <c r="E1651" s="42" t="s">
        <v>249</v>
      </c>
      <c r="F1651" s="76" t="s">
        <v>57</v>
      </c>
      <c r="G1651" s="52">
        <v>-41.18</v>
      </c>
      <c r="H1651" s="32" t="s">
        <v>1172</v>
      </c>
    </row>
    <row r="1652" spans="1:8" ht="18.75">
      <c r="A1652" t="s">
        <v>2468</v>
      </c>
      <c r="B1652">
        <v>6</v>
      </c>
      <c r="C1652">
        <v>2025</v>
      </c>
      <c r="D1652" s="54">
        <v>45810</v>
      </c>
      <c r="E1652" s="42" t="s">
        <v>160</v>
      </c>
      <c r="F1652" s="76" t="s">
        <v>49</v>
      </c>
      <c r="G1652" s="52">
        <v>-50</v>
      </c>
      <c r="H1652" s="32" t="s">
        <v>173</v>
      </c>
    </row>
    <row r="1653" spans="1:8" ht="18.75">
      <c r="A1653" t="s">
        <v>2469</v>
      </c>
      <c r="B1653">
        <v>5</v>
      </c>
      <c r="C1653">
        <v>2025</v>
      </c>
      <c r="D1653" s="54">
        <v>45803</v>
      </c>
      <c r="E1653" s="42" t="s">
        <v>160</v>
      </c>
      <c r="F1653" s="76" t="s">
        <v>29</v>
      </c>
      <c r="G1653" s="52">
        <v>-221.5</v>
      </c>
      <c r="H1653" s="32" t="s">
        <v>167</v>
      </c>
    </row>
    <row r="1654" spans="1:8" ht="18.75">
      <c r="A1654" t="s">
        <v>2470</v>
      </c>
      <c r="B1654">
        <v>5</v>
      </c>
      <c r="C1654">
        <v>2025</v>
      </c>
      <c r="D1654" s="54">
        <v>45803</v>
      </c>
      <c r="E1654" s="42" t="s">
        <v>249</v>
      </c>
      <c r="F1654" s="76" t="s">
        <v>48</v>
      </c>
      <c r="G1654" s="52">
        <v>-0.71</v>
      </c>
      <c r="H1654" s="32" t="s">
        <v>2471</v>
      </c>
    </row>
    <row r="1655" spans="1:8" ht="18.75">
      <c r="A1655" t="s">
        <v>2472</v>
      </c>
      <c r="B1655">
        <v>5</v>
      </c>
      <c r="C1655">
        <v>2025</v>
      </c>
      <c r="D1655" s="54">
        <v>45803</v>
      </c>
      <c r="E1655" s="42" t="s">
        <v>249</v>
      </c>
      <c r="F1655" s="76" t="s">
        <v>54</v>
      </c>
      <c r="G1655" s="52">
        <v>-25.82</v>
      </c>
      <c r="H1655" s="32" t="s">
        <v>631</v>
      </c>
    </row>
    <row r="1656" spans="1:8" ht="18.75">
      <c r="A1656" t="s">
        <v>2473</v>
      </c>
      <c r="B1656">
        <v>5</v>
      </c>
      <c r="C1656">
        <v>2025</v>
      </c>
      <c r="D1656" s="54">
        <v>45804</v>
      </c>
      <c r="E1656" s="42" t="s">
        <v>160</v>
      </c>
      <c r="F1656" s="76" t="s">
        <v>43</v>
      </c>
      <c r="G1656" s="52">
        <v>-9.0299999999999994</v>
      </c>
      <c r="H1656" s="32" t="s">
        <v>163</v>
      </c>
    </row>
    <row r="1657" spans="1:8" ht="18.75">
      <c r="A1657" t="s">
        <v>2474</v>
      </c>
      <c r="B1657">
        <v>5</v>
      </c>
      <c r="C1657">
        <v>2025</v>
      </c>
      <c r="D1657" s="54">
        <v>45804</v>
      </c>
      <c r="E1657" s="42" t="s">
        <v>249</v>
      </c>
      <c r="F1657" s="76" t="s">
        <v>56</v>
      </c>
      <c r="G1657" s="52">
        <v>-242.62</v>
      </c>
      <c r="H1657" s="32" t="s">
        <v>2475</v>
      </c>
    </row>
    <row r="1658" spans="1:8" ht="18.75">
      <c r="A1658" t="s">
        <v>2476</v>
      </c>
      <c r="B1658">
        <v>5</v>
      </c>
      <c r="C1658">
        <v>2025</v>
      </c>
      <c r="D1658" s="54">
        <v>45805</v>
      </c>
      <c r="E1658" s="42" t="s">
        <v>249</v>
      </c>
      <c r="F1658" s="76" t="s">
        <v>57</v>
      </c>
      <c r="G1658" s="52">
        <v>-15.83</v>
      </c>
      <c r="H1658" s="32" t="s">
        <v>1826</v>
      </c>
    </row>
    <row r="1659" spans="1:8" ht="18.75">
      <c r="A1659" t="s">
        <v>2477</v>
      </c>
      <c r="B1659">
        <v>5</v>
      </c>
      <c r="C1659">
        <v>2025</v>
      </c>
      <c r="D1659" s="54">
        <v>45805</v>
      </c>
      <c r="E1659" s="42" t="s">
        <v>249</v>
      </c>
      <c r="F1659" s="76" t="s">
        <v>65</v>
      </c>
      <c r="G1659" s="52">
        <v>-41.97</v>
      </c>
      <c r="H1659" s="32" t="s">
        <v>258</v>
      </c>
    </row>
    <row r="1660" spans="1:8" ht="18.75">
      <c r="A1660" t="s">
        <v>2478</v>
      </c>
      <c r="B1660">
        <v>5</v>
      </c>
      <c r="C1660">
        <v>2025</v>
      </c>
      <c r="D1660" s="54">
        <v>45806</v>
      </c>
      <c r="E1660" s="42" t="s">
        <v>249</v>
      </c>
      <c r="F1660" s="76" t="s">
        <v>55</v>
      </c>
      <c r="G1660" s="52">
        <v>-90.04</v>
      </c>
      <c r="H1660" s="32" t="s">
        <v>356</v>
      </c>
    </row>
    <row r="1661" spans="1:8" ht="18.75">
      <c r="A1661" t="s">
        <v>2479</v>
      </c>
      <c r="B1661">
        <v>5</v>
      </c>
      <c r="C1661">
        <v>2025</v>
      </c>
      <c r="D1661" s="54">
        <v>45807</v>
      </c>
      <c r="E1661" s="42" t="s">
        <v>160</v>
      </c>
      <c r="F1661" s="76" t="s">
        <v>33</v>
      </c>
      <c r="G1661" s="52">
        <v>-443.25</v>
      </c>
      <c r="H1661" s="32" t="s">
        <v>169</v>
      </c>
    </row>
    <row r="1662" spans="1:8" ht="18.75">
      <c r="A1662" t="s">
        <v>2480</v>
      </c>
      <c r="B1662">
        <v>5</v>
      </c>
      <c r="C1662">
        <v>2025</v>
      </c>
      <c r="D1662" s="54">
        <v>45807</v>
      </c>
      <c r="E1662" s="42" t="s">
        <v>249</v>
      </c>
      <c r="F1662" s="76" t="s">
        <v>59</v>
      </c>
      <c r="G1662" s="52">
        <v>-44.61</v>
      </c>
      <c r="H1662" s="32" t="s">
        <v>2481</v>
      </c>
    </row>
    <row r="1663" spans="1:8" ht="18.75">
      <c r="A1663" t="s">
        <v>2482</v>
      </c>
      <c r="B1663">
        <v>5</v>
      </c>
      <c r="C1663">
        <v>2025</v>
      </c>
      <c r="D1663" s="54">
        <v>45808</v>
      </c>
      <c r="E1663" s="42" t="s">
        <v>249</v>
      </c>
      <c r="F1663" s="76" t="s">
        <v>62</v>
      </c>
      <c r="G1663" s="52">
        <v>-98.1</v>
      </c>
      <c r="H1663" s="32" t="s">
        <v>2481</v>
      </c>
    </row>
    <row r="1664" spans="1:8" ht="18.75">
      <c r="A1664" t="s">
        <v>2483</v>
      </c>
      <c r="B1664">
        <v>5</v>
      </c>
      <c r="C1664">
        <v>2025</v>
      </c>
      <c r="D1664" s="54">
        <v>45808</v>
      </c>
      <c r="E1664" s="42" t="s">
        <v>249</v>
      </c>
      <c r="F1664" s="76" t="s">
        <v>62</v>
      </c>
      <c r="G1664" s="52">
        <v>-29.47</v>
      </c>
      <c r="H1664" s="32" t="s">
        <v>2481</v>
      </c>
    </row>
    <row r="1665" spans="1:8" ht="18.75">
      <c r="A1665" t="s">
        <v>2484</v>
      </c>
      <c r="B1665">
        <v>5</v>
      </c>
      <c r="C1665">
        <v>2025</v>
      </c>
      <c r="D1665" s="54">
        <v>45808</v>
      </c>
      <c r="E1665" s="42" t="s">
        <v>249</v>
      </c>
      <c r="F1665" s="76" t="s">
        <v>59</v>
      </c>
      <c r="G1665" s="52">
        <v>-25.3</v>
      </c>
      <c r="H1665" s="32" t="s">
        <v>2481</v>
      </c>
    </row>
    <row r="1666" spans="1:8" ht="18.75">
      <c r="A1666" t="s">
        <v>2485</v>
      </c>
      <c r="B1666">
        <v>5</v>
      </c>
      <c r="C1666">
        <v>2025</v>
      </c>
      <c r="D1666" s="54">
        <v>45808</v>
      </c>
      <c r="E1666" s="42" t="s">
        <v>249</v>
      </c>
      <c r="F1666" s="76" t="s">
        <v>59</v>
      </c>
      <c r="G1666" s="52">
        <v>-62.63</v>
      </c>
      <c r="H1666" s="32" t="s">
        <v>2486</v>
      </c>
    </row>
    <row r="1667" spans="1:8" ht="18.75">
      <c r="A1667" t="s">
        <v>2487</v>
      </c>
      <c r="B1667">
        <v>6</v>
      </c>
      <c r="C1667">
        <v>2025</v>
      </c>
      <c r="D1667" s="54">
        <v>45809</v>
      </c>
      <c r="E1667" s="42" t="s">
        <v>249</v>
      </c>
      <c r="F1667" s="76" t="s">
        <v>57</v>
      </c>
      <c r="G1667" s="52">
        <v>-93.84</v>
      </c>
      <c r="H1667" s="32" t="s">
        <v>351</v>
      </c>
    </row>
    <row r="1668" spans="1:8" ht="18.75">
      <c r="A1668" t="s">
        <v>2488</v>
      </c>
      <c r="B1668">
        <v>6</v>
      </c>
      <c r="C1668">
        <v>2025</v>
      </c>
      <c r="D1668" s="54">
        <v>45809</v>
      </c>
      <c r="E1668" s="42" t="s">
        <v>249</v>
      </c>
      <c r="F1668" s="76" t="s">
        <v>65</v>
      </c>
      <c r="G1668" s="52">
        <v>-39.5</v>
      </c>
      <c r="H1668" s="32" t="s">
        <v>258</v>
      </c>
    </row>
    <row r="1669" spans="1:8" ht="18.75">
      <c r="A1669" t="s">
        <v>2489</v>
      </c>
      <c r="B1669">
        <v>6</v>
      </c>
      <c r="C1669">
        <v>2025</v>
      </c>
      <c r="D1669" s="54">
        <v>45809</v>
      </c>
      <c r="E1669" s="42" t="s">
        <v>249</v>
      </c>
      <c r="F1669" s="76" t="s">
        <v>54</v>
      </c>
      <c r="G1669" s="52">
        <v>-22.12</v>
      </c>
      <c r="H1669" s="32" t="s">
        <v>2490</v>
      </c>
    </row>
    <row r="1670" spans="1:8" ht="18.75">
      <c r="A1670" t="s">
        <v>2491</v>
      </c>
      <c r="B1670">
        <v>6</v>
      </c>
      <c r="C1670">
        <v>2025</v>
      </c>
      <c r="D1670" s="54">
        <v>45817</v>
      </c>
      <c r="E1670" s="42" t="s">
        <v>160</v>
      </c>
      <c r="F1670" s="76" t="s">
        <v>49</v>
      </c>
      <c r="G1670" s="52">
        <v>-50</v>
      </c>
      <c r="H1670" s="32" t="s">
        <v>161</v>
      </c>
    </row>
    <row r="1671" spans="1:8" ht="18.75">
      <c r="A1671" t="s">
        <v>2492</v>
      </c>
      <c r="B1671">
        <v>6</v>
      </c>
      <c r="C1671">
        <v>2025</v>
      </c>
      <c r="D1671" s="54">
        <v>45810</v>
      </c>
      <c r="E1671" s="42" t="s">
        <v>160</v>
      </c>
      <c r="F1671" s="76" t="s">
        <v>40</v>
      </c>
      <c r="G1671" s="52">
        <v>-100</v>
      </c>
      <c r="H1671" s="32" t="s">
        <v>2493</v>
      </c>
    </row>
    <row r="1672" spans="1:8" ht="18.75">
      <c r="A1672" t="s">
        <v>2494</v>
      </c>
      <c r="B1672">
        <v>6</v>
      </c>
      <c r="C1672">
        <v>2025</v>
      </c>
      <c r="D1672" s="54">
        <v>45810</v>
      </c>
      <c r="E1672" s="42" t="s">
        <v>160</v>
      </c>
      <c r="F1672" s="76" t="s">
        <v>40</v>
      </c>
      <c r="G1672" s="52">
        <v>-200</v>
      </c>
      <c r="H1672" s="32" t="s">
        <v>2495</v>
      </c>
    </row>
    <row r="1673" spans="1:8" ht="18.75">
      <c r="A1673" t="s">
        <v>2496</v>
      </c>
      <c r="B1673">
        <v>6</v>
      </c>
      <c r="C1673">
        <v>2025</v>
      </c>
      <c r="D1673" s="54">
        <v>45810</v>
      </c>
      <c r="E1673" s="42" t="s">
        <v>160</v>
      </c>
      <c r="F1673" s="76" t="s">
        <v>79</v>
      </c>
      <c r="G1673" s="52">
        <v>-2492.83</v>
      </c>
      <c r="H1673" s="32" t="s">
        <v>2497</v>
      </c>
    </row>
    <row r="1674" spans="1:8" ht="18.75">
      <c r="A1674" t="s">
        <v>2498</v>
      </c>
      <c r="B1674">
        <v>6</v>
      </c>
      <c r="C1674">
        <v>2025</v>
      </c>
      <c r="D1674" s="54">
        <v>45810</v>
      </c>
      <c r="E1674" s="42" t="s">
        <v>146</v>
      </c>
      <c r="F1674" s="76" t="s">
        <v>79</v>
      </c>
      <c r="G1674" s="52">
        <v>2492.83</v>
      </c>
      <c r="H1674" s="32" t="s">
        <v>2499</v>
      </c>
    </row>
    <row r="1675" spans="1:8" ht="18.75">
      <c r="A1675" t="s">
        <v>2500</v>
      </c>
      <c r="B1675">
        <v>6</v>
      </c>
      <c r="C1675">
        <v>2025</v>
      </c>
      <c r="D1675" s="54">
        <v>45810</v>
      </c>
      <c r="E1675" s="42" t="s">
        <v>146</v>
      </c>
      <c r="F1675" s="76" t="s">
        <v>48</v>
      </c>
      <c r="G1675" s="52">
        <v>4.59</v>
      </c>
      <c r="H1675" s="32" t="s">
        <v>175</v>
      </c>
    </row>
    <row r="1676" spans="1:8" ht="18.75">
      <c r="A1676" t="s">
        <v>2501</v>
      </c>
      <c r="B1676">
        <v>6</v>
      </c>
      <c r="C1676">
        <v>2025</v>
      </c>
      <c r="D1676" s="54">
        <v>45810</v>
      </c>
      <c r="E1676" s="42" t="s">
        <v>249</v>
      </c>
      <c r="F1676" s="76" t="s">
        <v>65</v>
      </c>
      <c r="G1676" s="52">
        <v>-16.920000000000002</v>
      </c>
      <c r="H1676" s="32" t="s">
        <v>1192</v>
      </c>
    </row>
    <row r="1677" spans="1:8" ht="18.75">
      <c r="A1677" t="s">
        <v>2502</v>
      </c>
      <c r="B1677">
        <v>6</v>
      </c>
      <c r="C1677">
        <v>2025</v>
      </c>
      <c r="D1677" s="54">
        <v>45810</v>
      </c>
      <c r="E1677" s="42" t="s">
        <v>249</v>
      </c>
      <c r="F1677" s="76" t="s">
        <v>65</v>
      </c>
      <c r="G1677" s="52">
        <v>-47.03</v>
      </c>
      <c r="H1677" s="32" t="s">
        <v>258</v>
      </c>
    </row>
    <row r="1678" spans="1:8" ht="18.75">
      <c r="A1678" t="s">
        <v>2503</v>
      </c>
      <c r="B1678">
        <v>6</v>
      </c>
      <c r="C1678">
        <v>2025</v>
      </c>
      <c r="D1678" s="54">
        <v>45810</v>
      </c>
      <c r="E1678" s="42" t="s">
        <v>249</v>
      </c>
      <c r="F1678" s="76" t="s">
        <v>65</v>
      </c>
      <c r="G1678" s="52">
        <v>-24.14</v>
      </c>
      <c r="H1678" s="32" t="s">
        <v>282</v>
      </c>
    </row>
    <row r="1679" spans="1:8" ht="18.75">
      <c r="B1679">
        <v>6</v>
      </c>
      <c r="C1679">
        <v>2025</v>
      </c>
      <c r="D1679" s="54">
        <v>45811</v>
      </c>
      <c r="E1679" s="42" t="s">
        <v>146</v>
      </c>
      <c r="F1679" s="76" t="s">
        <v>65</v>
      </c>
      <c r="G1679" s="52">
        <v>1450</v>
      </c>
      <c r="H1679" s="32" t="s">
        <v>2504</v>
      </c>
    </row>
    <row r="1680" spans="1:8" ht="18.75">
      <c r="A1680" t="s">
        <v>2505</v>
      </c>
      <c r="B1680">
        <v>6</v>
      </c>
      <c r="C1680">
        <v>2025</v>
      </c>
      <c r="D1680" s="54">
        <v>45811</v>
      </c>
      <c r="E1680" s="42" t="s">
        <v>160</v>
      </c>
      <c r="F1680" s="76" t="s">
        <v>40</v>
      </c>
      <c r="G1680" s="52">
        <v>100</v>
      </c>
      <c r="H1680" s="32" t="s">
        <v>2506</v>
      </c>
    </row>
    <row r="1681" spans="1:8" ht="18.75">
      <c r="A1681" t="s">
        <v>2507</v>
      </c>
      <c r="B1681">
        <v>6</v>
      </c>
      <c r="C1681">
        <v>2025</v>
      </c>
      <c r="D1681" s="54">
        <v>45811</v>
      </c>
      <c r="E1681" s="42" t="s">
        <v>160</v>
      </c>
      <c r="F1681" s="76" t="s">
        <v>40</v>
      </c>
      <c r="G1681" s="52">
        <v>-100</v>
      </c>
      <c r="H1681" s="32" t="s">
        <v>2508</v>
      </c>
    </row>
    <row r="1682" spans="1:8" ht="18.75">
      <c r="A1682" t="s">
        <v>2509</v>
      </c>
      <c r="B1682">
        <v>6</v>
      </c>
      <c r="C1682">
        <v>2025</v>
      </c>
      <c r="D1682" s="54">
        <v>45811</v>
      </c>
      <c r="E1682" s="42" t="s">
        <v>160</v>
      </c>
      <c r="F1682" s="76" t="s">
        <v>40</v>
      </c>
      <c r="G1682" s="52">
        <v>-100</v>
      </c>
      <c r="H1682" s="32" t="s">
        <v>2510</v>
      </c>
    </row>
    <row r="1683" spans="1:8" ht="18.75">
      <c r="A1683" t="s">
        <v>2511</v>
      </c>
      <c r="B1683">
        <v>6</v>
      </c>
      <c r="C1683">
        <v>2025</v>
      </c>
      <c r="D1683" s="54">
        <v>45811</v>
      </c>
      <c r="E1683" s="42" t="s">
        <v>249</v>
      </c>
      <c r="F1683" s="76" t="s">
        <v>66</v>
      </c>
      <c r="G1683" s="52">
        <v>-50</v>
      </c>
      <c r="H1683" s="32" t="s">
        <v>2512</v>
      </c>
    </row>
    <row r="1684" spans="1:8" ht="18.75">
      <c r="A1684" t="s">
        <v>2511</v>
      </c>
      <c r="B1684">
        <v>6</v>
      </c>
      <c r="C1684">
        <v>2025</v>
      </c>
      <c r="D1684" s="54">
        <v>45811</v>
      </c>
      <c r="E1684" s="42" t="s">
        <v>249</v>
      </c>
      <c r="F1684" s="76" t="s">
        <v>65</v>
      </c>
      <c r="G1684" s="52">
        <f>-69.06+50</f>
        <v>-19.060000000000002</v>
      </c>
      <c r="H1684" s="32" t="s">
        <v>2512</v>
      </c>
    </row>
    <row r="1685" spans="1:8" ht="18.75">
      <c r="A1685" t="s">
        <v>2513</v>
      </c>
      <c r="B1685">
        <v>6</v>
      </c>
      <c r="C1685">
        <v>2025</v>
      </c>
      <c r="D1685" s="54">
        <v>45811</v>
      </c>
      <c r="E1685" s="42" t="s">
        <v>249</v>
      </c>
      <c r="F1685" s="76" t="s">
        <v>34</v>
      </c>
      <c r="G1685" s="52">
        <v>-158.54</v>
      </c>
      <c r="H1685" s="32" t="s">
        <v>2278</v>
      </c>
    </row>
    <row r="1686" spans="1:8" ht="18.75">
      <c r="A1686" s="77" t="s">
        <v>2514</v>
      </c>
      <c r="B1686">
        <v>6</v>
      </c>
      <c r="C1686">
        <v>2025</v>
      </c>
      <c r="D1686" s="54">
        <v>45811</v>
      </c>
      <c r="E1686" s="42" t="s">
        <v>249</v>
      </c>
      <c r="F1686" s="76" t="s">
        <v>45</v>
      </c>
      <c r="G1686" s="52">
        <v>-72.87</v>
      </c>
      <c r="H1686" s="32" t="s">
        <v>1277</v>
      </c>
    </row>
    <row r="1687" spans="1:8" ht="18.75">
      <c r="A1687" t="s">
        <v>2515</v>
      </c>
      <c r="B1687">
        <v>6</v>
      </c>
      <c r="C1687">
        <v>2025</v>
      </c>
      <c r="D1687" s="54">
        <v>45812</v>
      </c>
      <c r="E1687" s="42" t="s">
        <v>160</v>
      </c>
      <c r="F1687" s="76" t="s">
        <v>79</v>
      </c>
      <c r="G1687" s="52">
        <v>138.84</v>
      </c>
      <c r="H1687" s="32" t="s">
        <v>2516</v>
      </c>
    </row>
    <row r="1688" spans="1:8" ht="18.75">
      <c r="A1688" t="s">
        <v>2517</v>
      </c>
      <c r="B1688">
        <v>6</v>
      </c>
      <c r="C1688">
        <v>2025</v>
      </c>
      <c r="D1688" s="54">
        <v>45812</v>
      </c>
      <c r="E1688" s="42" t="s">
        <v>160</v>
      </c>
      <c r="F1688" s="76" t="s">
        <v>79</v>
      </c>
      <c r="G1688" s="52">
        <v>2388.1</v>
      </c>
      <c r="H1688" s="32" t="s">
        <v>1655</v>
      </c>
    </row>
    <row r="1689" spans="1:8" ht="18.75">
      <c r="A1689" t="s">
        <v>2518</v>
      </c>
      <c r="B1689">
        <v>6</v>
      </c>
      <c r="C1689">
        <v>2025</v>
      </c>
      <c r="D1689" s="54">
        <v>45812</v>
      </c>
      <c r="E1689" s="42" t="s">
        <v>160</v>
      </c>
      <c r="F1689" s="76" t="s">
        <v>79</v>
      </c>
      <c r="G1689" s="52">
        <v>-69.42</v>
      </c>
      <c r="H1689" s="32" t="s">
        <v>2519</v>
      </c>
    </row>
    <row r="1690" spans="1:8" ht="18.75">
      <c r="A1690" t="s">
        <v>2520</v>
      </c>
      <c r="B1690">
        <v>6</v>
      </c>
      <c r="C1690">
        <v>2025</v>
      </c>
      <c r="D1690" s="54">
        <v>45812</v>
      </c>
      <c r="E1690" s="42" t="s">
        <v>160</v>
      </c>
      <c r="F1690" s="76" t="s">
        <v>79</v>
      </c>
      <c r="G1690" s="52">
        <v>-685.68</v>
      </c>
      <c r="H1690" s="32" t="s">
        <v>2521</v>
      </c>
    </row>
    <row r="1691" spans="1:8" ht="18.75">
      <c r="A1691" t="s">
        <v>2522</v>
      </c>
      <c r="B1691">
        <v>6</v>
      </c>
      <c r="C1691">
        <v>2025</v>
      </c>
      <c r="D1691" s="54">
        <v>45812</v>
      </c>
      <c r="E1691" s="42" t="s">
        <v>146</v>
      </c>
      <c r="F1691" s="76" t="s">
        <v>79</v>
      </c>
      <c r="G1691" s="52">
        <v>69.42</v>
      </c>
      <c r="H1691" s="32" t="s">
        <v>2523</v>
      </c>
    </row>
    <row r="1692" spans="1:8" ht="18.75">
      <c r="A1692" t="s">
        <v>2524</v>
      </c>
      <c r="B1692">
        <v>6</v>
      </c>
      <c r="C1692">
        <v>2025</v>
      </c>
      <c r="D1692" s="54">
        <v>45812</v>
      </c>
      <c r="E1692" s="42" t="s">
        <v>146</v>
      </c>
      <c r="F1692" s="76" t="s">
        <v>79</v>
      </c>
      <c r="G1692" s="52">
        <v>685.68</v>
      </c>
      <c r="H1692" s="32" t="s">
        <v>2525</v>
      </c>
    </row>
    <row r="1693" spans="1:8" ht="18.75">
      <c r="A1693" t="s">
        <v>2526</v>
      </c>
      <c r="B1693">
        <v>6</v>
      </c>
      <c r="C1693">
        <v>2025</v>
      </c>
      <c r="D1693" s="54">
        <v>45812</v>
      </c>
      <c r="E1693" s="42" t="s">
        <v>146</v>
      </c>
      <c r="F1693" s="76" t="s">
        <v>79</v>
      </c>
      <c r="G1693" s="52">
        <v>-138.84</v>
      </c>
      <c r="H1693" s="32" t="s">
        <v>2527</v>
      </c>
    </row>
    <row r="1694" spans="1:8" ht="18.75">
      <c r="A1694" t="s">
        <v>2528</v>
      </c>
      <c r="B1694">
        <v>6</v>
      </c>
      <c r="C1694">
        <v>2025</v>
      </c>
      <c r="D1694" s="54">
        <v>45812</v>
      </c>
      <c r="E1694" s="42" t="s">
        <v>249</v>
      </c>
      <c r="F1694" s="76" t="s">
        <v>46</v>
      </c>
      <c r="G1694" s="52">
        <v>-20</v>
      </c>
      <c r="H1694" s="32" t="s">
        <v>268</v>
      </c>
    </row>
    <row r="1695" spans="1:8" ht="18.75">
      <c r="A1695" t="s">
        <v>2529</v>
      </c>
      <c r="B1695">
        <v>6</v>
      </c>
      <c r="C1695">
        <v>2025</v>
      </c>
      <c r="D1695" s="54">
        <v>45812</v>
      </c>
      <c r="E1695" s="42" t="s">
        <v>249</v>
      </c>
      <c r="F1695" s="76" t="s">
        <v>65</v>
      </c>
      <c r="G1695" s="52">
        <v>-48.01</v>
      </c>
      <c r="H1695" s="32" t="s">
        <v>601</v>
      </c>
    </row>
    <row r="1696" spans="1:8" ht="18.75">
      <c r="A1696" t="s">
        <v>2530</v>
      </c>
      <c r="B1696">
        <v>6</v>
      </c>
      <c r="C1696">
        <v>2025</v>
      </c>
      <c r="D1696" s="54">
        <v>45813</v>
      </c>
      <c r="E1696" s="42" t="s">
        <v>160</v>
      </c>
      <c r="F1696" s="76" t="s">
        <v>79</v>
      </c>
      <c r="G1696" s="52">
        <v>1318.15</v>
      </c>
      <c r="H1696" s="32" t="s">
        <v>190</v>
      </c>
    </row>
    <row r="1697" spans="1:8" ht="18.75">
      <c r="A1697" t="s">
        <v>2531</v>
      </c>
      <c r="B1697">
        <v>6</v>
      </c>
      <c r="C1697">
        <v>2025</v>
      </c>
      <c r="D1697" s="54">
        <v>45813</v>
      </c>
      <c r="E1697" s="42" t="s">
        <v>160</v>
      </c>
      <c r="F1697" s="76" t="s">
        <v>30</v>
      </c>
      <c r="G1697" s="52">
        <v>-230.75</v>
      </c>
      <c r="H1697" s="32" t="s">
        <v>196</v>
      </c>
    </row>
    <row r="1698" spans="1:8" ht="18.75">
      <c r="A1698" t="s">
        <v>2532</v>
      </c>
      <c r="B1698">
        <v>6</v>
      </c>
      <c r="C1698">
        <v>2025</v>
      </c>
      <c r="D1698" s="54">
        <v>45813</v>
      </c>
      <c r="E1698" s="42" t="s">
        <v>249</v>
      </c>
      <c r="F1698" s="76" t="s">
        <v>50</v>
      </c>
      <c r="G1698" s="52">
        <v>-139.9</v>
      </c>
      <c r="H1698" s="32" t="s">
        <v>727</v>
      </c>
    </row>
    <row r="1699" spans="1:8" ht="18.75">
      <c r="A1699" s="77" t="s">
        <v>2533</v>
      </c>
      <c r="B1699">
        <v>6</v>
      </c>
      <c r="C1699">
        <v>2025</v>
      </c>
      <c r="D1699" s="54">
        <v>45813</v>
      </c>
      <c r="E1699" s="42" t="s">
        <v>249</v>
      </c>
      <c r="F1699" s="76" t="s">
        <v>65</v>
      </c>
      <c r="G1699" s="52">
        <v>-37.18</v>
      </c>
      <c r="H1699" s="32" t="s">
        <v>2534</v>
      </c>
    </row>
    <row r="1700" spans="1:8" ht="18.75">
      <c r="A1700" t="s">
        <v>2535</v>
      </c>
      <c r="B1700">
        <v>6</v>
      </c>
      <c r="C1700">
        <v>2025</v>
      </c>
      <c r="D1700" s="54">
        <v>45814</v>
      </c>
      <c r="E1700" s="42" t="s">
        <v>160</v>
      </c>
      <c r="F1700" s="76" t="s">
        <v>36</v>
      </c>
      <c r="G1700" s="52">
        <v>-88.4</v>
      </c>
      <c r="H1700" s="32" t="s">
        <v>2536</v>
      </c>
    </row>
    <row r="1701" spans="1:8" ht="18.75">
      <c r="A1701" t="s">
        <v>2537</v>
      </c>
      <c r="B1701">
        <v>6</v>
      </c>
      <c r="C1701">
        <v>2025</v>
      </c>
      <c r="D1701" s="54">
        <v>45814</v>
      </c>
      <c r="E1701" s="42" t="s">
        <v>249</v>
      </c>
      <c r="F1701" s="76" t="s">
        <v>52</v>
      </c>
      <c r="G1701" s="52">
        <v>-14.46</v>
      </c>
      <c r="H1701" s="32" t="s">
        <v>2538</v>
      </c>
    </row>
    <row r="1702" spans="1:8" ht="18.75">
      <c r="A1702" t="s">
        <v>2539</v>
      </c>
      <c r="B1702">
        <v>6</v>
      </c>
      <c r="C1702">
        <v>2025</v>
      </c>
      <c r="D1702" s="54">
        <v>45814</v>
      </c>
      <c r="E1702" s="42" t="s">
        <v>249</v>
      </c>
      <c r="F1702" s="76" t="s">
        <v>54</v>
      </c>
      <c r="G1702" s="52">
        <v>-13.19</v>
      </c>
      <c r="H1702" s="32" t="s">
        <v>1378</v>
      </c>
    </row>
    <row r="1703" spans="1:8" ht="18.75">
      <c r="A1703" t="s">
        <v>2540</v>
      </c>
      <c r="B1703">
        <v>6</v>
      </c>
      <c r="C1703">
        <v>2025</v>
      </c>
      <c r="D1703" s="54">
        <v>45815</v>
      </c>
      <c r="E1703" s="42" t="s">
        <v>249</v>
      </c>
      <c r="F1703" s="76" t="s">
        <v>54</v>
      </c>
      <c r="G1703" s="52">
        <v>-9.07</v>
      </c>
      <c r="H1703" s="32" t="s">
        <v>587</v>
      </c>
    </row>
    <row r="1704" spans="1:8" ht="18.75">
      <c r="A1704" t="s">
        <v>2541</v>
      </c>
      <c r="B1704">
        <v>6</v>
      </c>
      <c r="C1704">
        <v>2025</v>
      </c>
      <c r="D1704" s="54">
        <v>45815</v>
      </c>
      <c r="E1704" s="42" t="s">
        <v>249</v>
      </c>
      <c r="F1704" s="76" t="s">
        <v>42</v>
      </c>
      <c r="G1704" s="52">
        <v>-25.98</v>
      </c>
      <c r="H1704" s="32" t="s">
        <v>1833</v>
      </c>
    </row>
    <row r="1705" spans="1:8" ht="18.75">
      <c r="A1705" t="s">
        <v>2542</v>
      </c>
      <c r="B1705">
        <v>6</v>
      </c>
      <c r="C1705">
        <v>2025</v>
      </c>
      <c r="D1705" s="54">
        <v>45816</v>
      </c>
      <c r="E1705" s="42" t="s">
        <v>249</v>
      </c>
      <c r="F1705" s="76" t="s">
        <v>32</v>
      </c>
      <c r="G1705" s="52">
        <v>-47.81</v>
      </c>
      <c r="H1705" s="32" t="s">
        <v>646</v>
      </c>
    </row>
    <row r="1706" spans="1:8" ht="18.75">
      <c r="A1706" t="s">
        <v>2543</v>
      </c>
      <c r="B1706">
        <v>6</v>
      </c>
      <c r="C1706">
        <v>2025</v>
      </c>
      <c r="D1706" s="54">
        <v>45816</v>
      </c>
      <c r="E1706" s="42" t="s">
        <v>249</v>
      </c>
      <c r="F1706" s="76" t="s">
        <v>44</v>
      </c>
      <c r="G1706" s="52">
        <v>-11.3</v>
      </c>
      <c r="H1706" s="32" t="s">
        <v>2544</v>
      </c>
    </row>
    <row r="1707" spans="1:8" ht="18.75">
      <c r="A1707" t="s">
        <v>2545</v>
      </c>
      <c r="B1707">
        <v>6</v>
      </c>
      <c r="C1707">
        <v>2025</v>
      </c>
      <c r="D1707" s="54">
        <v>45816</v>
      </c>
      <c r="E1707" s="42" t="s">
        <v>249</v>
      </c>
      <c r="F1707" s="76" t="s">
        <v>44</v>
      </c>
      <c r="G1707" s="52">
        <v>-47.45</v>
      </c>
      <c r="H1707" s="32" t="s">
        <v>2546</v>
      </c>
    </row>
    <row r="1708" spans="1:8" ht="18.75">
      <c r="A1708" t="s">
        <v>2547</v>
      </c>
      <c r="B1708">
        <v>6</v>
      </c>
      <c r="C1708">
        <v>2025</v>
      </c>
      <c r="D1708" s="54">
        <v>45816</v>
      </c>
      <c r="E1708" s="42" t="s">
        <v>249</v>
      </c>
      <c r="F1708" s="76" t="s">
        <v>44</v>
      </c>
      <c r="G1708" s="52">
        <v>-56.42</v>
      </c>
      <c r="H1708" s="32" t="s">
        <v>2548</v>
      </c>
    </row>
    <row r="1709" spans="1:8" ht="18.75">
      <c r="A1709" t="s">
        <v>2549</v>
      </c>
      <c r="B1709">
        <v>6</v>
      </c>
      <c r="C1709">
        <v>2025</v>
      </c>
      <c r="D1709" s="54">
        <v>45816</v>
      </c>
      <c r="E1709" s="42" t="s">
        <v>249</v>
      </c>
      <c r="F1709" s="76" t="s">
        <v>44</v>
      </c>
      <c r="G1709" s="52">
        <v>-33.89</v>
      </c>
      <c r="H1709" s="32" t="s">
        <v>2550</v>
      </c>
    </row>
    <row r="1710" spans="1:8" ht="18.75">
      <c r="A1710" t="s">
        <v>2551</v>
      </c>
      <c r="B1710">
        <v>6</v>
      </c>
      <c r="C1710">
        <v>2025</v>
      </c>
      <c r="D1710" s="54">
        <v>45816</v>
      </c>
      <c r="E1710" s="42" t="s">
        <v>249</v>
      </c>
      <c r="F1710" s="76" t="s">
        <v>44</v>
      </c>
      <c r="G1710" s="52">
        <v>-18.07</v>
      </c>
      <c r="H1710" s="32" t="s">
        <v>2550</v>
      </c>
    </row>
    <row r="1711" spans="1:8" ht="18.75">
      <c r="A1711" t="s">
        <v>2552</v>
      </c>
      <c r="B1711">
        <v>6</v>
      </c>
      <c r="C1711">
        <v>2025</v>
      </c>
      <c r="D1711" s="54">
        <v>45816</v>
      </c>
      <c r="E1711" s="42" t="s">
        <v>249</v>
      </c>
      <c r="F1711" s="76" t="s">
        <v>47</v>
      </c>
      <c r="G1711" s="52">
        <v>-49.78</v>
      </c>
      <c r="H1711" s="32" t="s">
        <v>2553</v>
      </c>
    </row>
    <row r="1712" spans="1:8" ht="18.75">
      <c r="A1712" t="s">
        <v>2554</v>
      </c>
      <c r="B1712">
        <v>6</v>
      </c>
      <c r="C1712">
        <v>2025</v>
      </c>
      <c r="D1712" s="54">
        <v>45816</v>
      </c>
      <c r="E1712" s="42" t="s">
        <v>249</v>
      </c>
      <c r="F1712" s="76" t="s">
        <v>44</v>
      </c>
      <c r="G1712" s="52">
        <v>-28.24</v>
      </c>
      <c r="H1712" s="32" t="s">
        <v>2555</v>
      </c>
    </row>
    <row r="1713" spans="1:8" ht="18.75">
      <c r="A1713" t="s">
        <v>2556</v>
      </c>
      <c r="B1713">
        <v>6</v>
      </c>
      <c r="C1713">
        <v>2025</v>
      </c>
      <c r="D1713" s="54">
        <v>45816</v>
      </c>
      <c r="E1713" s="42" t="s">
        <v>249</v>
      </c>
      <c r="F1713" s="76" t="s">
        <v>34</v>
      </c>
      <c r="G1713" s="52">
        <v>-7.89</v>
      </c>
      <c r="H1713" s="32" t="s">
        <v>2168</v>
      </c>
    </row>
    <row r="1714" spans="1:8" ht="18.75">
      <c r="A1714" t="s">
        <v>2557</v>
      </c>
      <c r="B1714">
        <v>6</v>
      </c>
      <c r="C1714">
        <v>2025</v>
      </c>
      <c r="D1714" s="54">
        <v>45816</v>
      </c>
      <c r="E1714" s="42" t="s">
        <v>249</v>
      </c>
      <c r="F1714" s="76" t="s">
        <v>44</v>
      </c>
      <c r="G1714" s="52">
        <v>-326.36</v>
      </c>
      <c r="H1714" s="32" t="s">
        <v>2558</v>
      </c>
    </row>
    <row r="1715" spans="1:8" ht="18.75">
      <c r="A1715" t="s">
        <v>2559</v>
      </c>
      <c r="B1715">
        <v>6</v>
      </c>
      <c r="C1715">
        <v>2025</v>
      </c>
      <c r="D1715" s="54">
        <v>45816</v>
      </c>
      <c r="E1715" s="42" t="s">
        <v>249</v>
      </c>
      <c r="F1715" s="76" t="s">
        <v>44</v>
      </c>
      <c r="G1715" s="52">
        <v>-28.24</v>
      </c>
      <c r="H1715" s="32" t="s">
        <v>2560</v>
      </c>
    </row>
    <row r="1716" spans="1:8" ht="18.75">
      <c r="A1716" s="77" t="s">
        <v>2561</v>
      </c>
      <c r="B1716">
        <v>6</v>
      </c>
      <c r="C1716">
        <v>2025</v>
      </c>
      <c r="D1716" s="54">
        <v>45816</v>
      </c>
      <c r="E1716" s="42" t="s">
        <v>249</v>
      </c>
      <c r="F1716" s="76" t="s">
        <v>44</v>
      </c>
      <c r="G1716" s="52">
        <v>-34.47</v>
      </c>
      <c r="H1716" s="32" t="s">
        <v>2562</v>
      </c>
    </row>
    <row r="1717" spans="1:8" ht="18.75">
      <c r="A1717" t="s">
        <v>2563</v>
      </c>
      <c r="B1717">
        <v>6</v>
      </c>
      <c r="C1717">
        <v>2025</v>
      </c>
      <c r="D1717" s="54">
        <v>45816</v>
      </c>
      <c r="E1717" s="42" t="s">
        <v>249</v>
      </c>
      <c r="F1717" s="76" t="s">
        <v>44</v>
      </c>
      <c r="G1717" s="52">
        <v>-344.02</v>
      </c>
      <c r="H1717" s="32" t="s">
        <v>2564</v>
      </c>
    </row>
    <row r="1718" spans="1:8" ht="18.75">
      <c r="A1718" t="s">
        <v>2565</v>
      </c>
      <c r="B1718">
        <v>6</v>
      </c>
      <c r="C1718">
        <v>2025</v>
      </c>
      <c r="D1718" s="54">
        <v>45816</v>
      </c>
      <c r="E1718" s="42" t="s">
        <v>249</v>
      </c>
      <c r="F1718" s="76" t="s">
        <v>44</v>
      </c>
      <c r="G1718" s="52">
        <v>-56.45</v>
      </c>
      <c r="H1718" s="32" t="s">
        <v>2566</v>
      </c>
    </row>
    <row r="1719" spans="1:8" ht="18.75">
      <c r="A1719" t="s">
        <v>2567</v>
      </c>
      <c r="B1719">
        <v>6</v>
      </c>
      <c r="C1719">
        <v>2025</v>
      </c>
      <c r="D1719" s="54">
        <v>45816</v>
      </c>
      <c r="E1719" s="42" t="s">
        <v>249</v>
      </c>
      <c r="F1719" s="76" t="s">
        <v>41</v>
      </c>
      <c r="G1719" s="52">
        <v>-64.78</v>
      </c>
      <c r="H1719" s="32" t="s">
        <v>2568</v>
      </c>
    </row>
    <row r="1720" spans="1:8" ht="18.75">
      <c r="A1720" t="s">
        <v>2569</v>
      </c>
      <c r="B1720">
        <v>6</v>
      </c>
      <c r="C1720">
        <v>2025</v>
      </c>
      <c r="D1720" s="54">
        <v>45816</v>
      </c>
      <c r="E1720" s="42" t="s">
        <v>249</v>
      </c>
      <c r="F1720" s="76" t="s">
        <v>59</v>
      </c>
      <c r="G1720" s="52">
        <v>-39.270000000000003</v>
      </c>
      <c r="H1720" s="32" t="s">
        <v>2570</v>
      </c>
    </row>
    <row r="1721" spans="1:8" ht="18.75">
      <c r="A1721" t="s">
        <v>2571</v>
      </c>
      <c r="B1721">
        <v>6</v>
      </c>
      <c r="C1721">
        <v>2025</v>
      </c>
      <c r="D1721" s="54">
        <v>45831</v>
      </c>
      <c r="E1721" s="42" t="s">
        <v>160</v>
      </c>
      <c r="F1721" s="76" t="s">
        <v>49</v>
      </c>
      <c r="G1721" s="52">
        <v>-50</v>
      </c>
      <c r="H1721" s="32" t="s">
        <v>161</v>
      </c>
    </row>
    <row r="1722" spans="1:8" ht="18.75">
      <c r="A1722" t="s">
        <v>2572</v>
      </c>
      <c r="B1722">
        <v>6</v>
      </c>
      <c r="C1722">
        <v>2025</v>
      </c>
      <c r="D1722" s="54">
        <v>45817</v>
      </c>
      <c r="E1722" s="42" t="s">
        <v>160</v>
      </c>
      <c r="F1722" s="76" t="s">
        <v>51</v>
      </c>
      <c r="G1722" s="52">
        <v>-125.87</v>
      </c>
      <c r="H1722" s="32" t="s">
        <v>199</v>
      </c>
    </row>
    <row r="1723" spans="1:8" ht="18.75">
      <c r="A1723" t="s">
        <v>2573</v>
      </c>
      <c r="B1723">
        <v>6</v>
      </c>
      <c r="C1723">
        <v>2025</v>
      </c>
      <c r="D1723" s="54">
        <v>45817</v>
      </c>
      <c r="E1723" s="42" t="s">
        <v>249</v>
      </c>
      <c r="F1723" s="76" t="s">
        <v>58</v>
      </c>
      <c r="G1723" s="52">
        <v>-21.47</v>
      </c>
      <c r="H1723" s="32" t="s">
        <v>308</v>
      </c>
    </row>
    <row r="1724" spans="1:8" ht="18.75">
      <c r="A1724" t="s">
        <v>2574</v>
      </c>
      <c r="B1724">
        <v>6</v>
      </c>
      <c r="C1724">
        <v>2025</v>
      </c>
      <c r="D1724" s="54">
        <v>45817</v>
      </c>
      <c r="E1724" s="42" t="s">
        <v>249</v>
      </c>
      <c r="F1724" s="76" t="s">
        <v>57</v>
      </c>
      <c r="G1724" s="52">
        <v>-83.88</v>
      </c>
      <c r="H1724" s="32" t="s">
        <v>351</v>
      </c>
    </row>
    <row r="1725" spans="1:8" ht="18.75">
      <c r="A1725" t="s">
        <v>2575</v>
      </c>
      <c r="B1725">
        <v>6</v>
      </c>
      <c r="C1725">
        <v>2025</v>
      </c>
      <c r="D1725" s="54">
        <v>45818</v>
      </c>
      <c r="E1725" s="42" t="s">
        <v>160</v>
      </c>
      <c r="F1725" s="76" t="s">
        <v>43</v>
      </c>
      <c r="G1725" s="52">
        <v>-9.0299999999999994</v>
      </c>
      <c r="H1725" s="32" t="s">
        <v>163</v>
      </c>
    </row>
    <row r="1726" spans="1:8" ht="18.75">
      <c r="A1726" t="s">
        <v>2576</v>
      </c>
      <c r="B1726">
        <v>6</v>
      </c>
      <c r="C1726">
        <v>2025</v>
      </c>
      <c r="D1726" s="54">
        <v>45818</v>
      </c>
      <c r="E1726" s="42" t="s">
        <v>249</v>
      </c>
      <c r="F1726" s="76" t="s">
        <v>56</v>
      </c>
      <c r="G1726" s="52">
        <v>-2465</v>
      </c>
      <c r="H1726" s="32" t="s">
        <v>590</v>
      </c>
    </row>
    <row r="1727" spans="1:8" ht="18.75">
      <c r="A1727" t="s">
        <v>2577</v>
      </c>
      <c r="B1727">
        <v>6</v>
      </c>
      <c r="C1727">
        <v>2025</v>
      </c>
      <c r="D1727" s="54">
        <v>45821</v>
      </c>
      <c r="E1727" s="42" t="s">
        <v>160</v>
      </c>
      <c r="F1727" s="76" t="s">
        <v>33</v>
      </c>
      <c r="G1727" s="52">
        <v>-443.25</v>
      </c>
      <c r="H1727" s="32" t="s">
        <v>169</v>
      </c>
    </row>
    <row r="1728" spans="1:8" ht="18.75">
      <c r="A1728" t="s">
        <v>2578</v>
      </c>
      <c r="B1728">
        <v>6</v>
      </c>
      <c r="C1728">
        <v>2025</v>
      </c>
      <c r="D1728" s="54">
        <v>45821</v>
      </c>
      <c r="E1728" s="42" t="s">
        <v>249</v>
      </c>
      <c r="F1728" s="76" t="s">
        <v>57</v>
      </c>
      <c r="G1728" s="52">
        <v>-157.91999999999999</v>
      </c>
      <c r="H1728" s="32" t="s">
        <v>351</v>
      </c>
    </row>
    <row r="1729" spans="1:8" ht="18.75">
      <c r="A1729" t="s">
        <v>2579</v>
      </c>
      <c r="B1729">
        <v>6</v>
      </c>
      <c r="C1729">
        <v>2025</v>
      </c>
      <c r="D1729" s="54">
        <v>45821</v>
      </c>
      <c r="E1729" s="42" t="s">
        <v>249</v>
      </c>
      <c r="F1729" s="76" t="s">
        <v>35</v>
      </c>
      <c r="G1729" s="52">
        <v>-91.53</v>
      </c>
      <c r="H1729" s="32" t="s">
        <v>285</v>
      </c>
    </row>
    <row r="1730" spans="1:8" ht="18.75">
      <c r="A1730" t="s">
        <v>2580</v>
      </c>
      <c r="B1730">
        <v>6</v>
      </c>
      <c r="C1730">
        <v>2025</v>
      </c>
      <c r="D1730" s="54">
        <v>45821</v>
      </c>
      <c r="E1730" s="42" t="s">
        <v>249</v>
      </c>
      <c r="F1730" s="76" t="s">
        <v>32</v>
      </c>
      <c r="G1730" s="52">
        <v>-49</v>
      </c>
      <c r="H1730" s="32" t="s">
        <v>1572</v>
      </c>
    </row>
    <row r="1731" spans="1:8" ht="18.75">
      <c r="A1731" t="s">
        <v>2581</v>
      </c>
      <c r="B1731">
        <v>6</v>
      </c>
      <c r="C1731">
        <v>2025</v>
      </c>
      <c r="D1731" s="54">
        <v>45821</v>
      </c>
      <c r="E1731" s="42" t="s">
        <v>249</v>
      </c>
      <c r="F1731" s="76" t="s">
        <v>54</v>
      </c>
      <c r="G1731" s="52">
        <v>-15.8</v>
      </c>
      <c r="H1731" s="32" t="s">
        <v>551</v>
      </c>
    </row>
    <row r="1732" spans="1:8" ht="18.75">
      <c r="A1732" t="s">
        <v>2582</v>
      </c>
      <c r="B1732">
        <v>6</v>
      </c>
      <c r="C1732">
        <v>2025</v>
      </c>
      <c r="D1732" s="54">
        <v>45821</v>
      </c>
      <c r="E1732" s="42" t="s">
        <v>249</v>
      </c>
      <c r="F1732" s="76" t="s">
        <v>55</v>
      </c>
      <c r="G1732" s="52">
        <v>-65.53</v>
      </c>
      <c r="H1732" s="32" t="s">
        <v>356</v>
      </c>
    </row>
    <row r="1733" spans="1:8" ht="18.75">
      <c r="A1733" t="s">
        <v>2583</v>
      </c>
      <c r="B1733">
        <v>6</v>
      </c>
      <c r="C1733">
        <v>2025</v>
      </c>
      <c r="D1733" s="54">
        <v>45822</v>
      </c>
      <c r="E1733" s="42" t="s">
        <v>249</v>
      </c>
      <c r="F1733" s="76" t="s">
        <v>65</v>
      </c>
      <c r="G1733" s="52">
        <v>-280.24</v>
      </c>
      <c r="H1733" s="32" t="s">
        <v>282</v>
      </c>
    </row>
    <row r="1734" spans="1:8" ht="18.75">
      <c r="A1734" t="s">
        <v>2584</v>
      </c>
      <c r="B1734">
        <v>6</v>
      </c>
      <c r="C1734">
        <v>2025</v>
      </c>
      <c r="D1734" s="54">
        <v>45822</v>
      </c>
      <c r="E1734" s="42" t="s">
        <v>249</v>
      </c>
      <c r="F1734" s="76" t="s">
        <v>47</v>
      </c>
      <c r="G1734" s="52">
        <v>-161.81</v>
      </c>
      <c r="H1734" s="32" t="s">
        <v>601</v>
      </c>
    </row>
    <row r="1735" spans="1:8" ht="18.75">
      <c r="A1735" t="s">
        <v>2585</v>
      </c>
      <c r="B1735">
        <v>6</v>
      </c>
      <c r="C1735">
        <v>2025</v>
      </c>
      <c r="D1735" s="54">
        <v>45822</v>
      </c>
      <c r="E1735" s="42" t="s">
        <v>249</v>
      </c>
      <c r="F1735" s="76" t="s">
        <v>54</v>
      </c>
      <c r="G1735" s="52">
        <v>-4.95</v>
      </c>
      <c r="H1735" s="32" t="s">
        <v>1378</v>
      </c>
    </row>
    <row r="1736" spans="1:8" ht="18.75">
      <c r="A1736" t="s">
        <v>2586</v>
      </c>
      <c r="B1736">
        <v>6</v>
      </c>
      <c r="C1736">
        <v>2025</v>
      </c>
      <c r="D1736" s="54">
        <v>45822</v>
      </c>
      <c r="E1736" s="42" t="s">
        <v>249</v>
      </c>
      <c r="F1736" s="76" t="s">
        <v>50</v>
      </c>
      <c r="G1736" s="52">
        <v>-32.700000000000003</v>
      </c>
      <c r="H1736" s="32" t="s">
        <v>727</v>
      </c>
    </row>
    <row r="1737" spans="1:8" ht="18.75">
      <c r="A1737" t="s">
        <v>2587</v>
      </c>
      <c r="B1737">
        <v>6</v>
      </c>
      <c r="C1737">
        <v>2025</v>
      </c>
      <c r="D1737" s="54">
        <v>45822</v>
      </c>
      <c r="E1737" s="42" t="s">
        <v>249</v>
      </c>
      <c r="F1737" s="76" t="s">
        <v>50</v>
      </c>
      <c r="G1737" s="52">
        <v>-126.9</v>
      </c>
      <c r="H1737" s="32" t="s">
        <v>727</v>
      </c>
    </row>
    <row r="1738" spans="1:8" ht="18.75">
      <c r="A1738" t="s">
        <v>2588</v>
      </c>
      <c r="B1738">
        <v>6</v>
      </c>
      <c r="C1738">
        <v>2025</v>
      </c>
      <c r="D1738" s="54">
        <v>45822</v>
      </c>
      <c r="E1738" s="42" t="s">
        <v>249</v>
      </c>
      <c r="F1738" s="76" t="s">
        <v>39</v>
      </c>
      <c r="G1738" s="52">
        <v>-125.43</v>
      </c>
      <c r="H1738" s="32" t="s">
        <v>2308</v>
      </c>
    </row>
    <row r="1739" spans="1:8" ht="18.75">
      <c r="A1739" t="s">
        <v>2589</v>
      </c>
      <c r="B1739">
        <v>6</v>
      </c>
      <c r="C1739">
        <v>2025</v>
      </c>
      <c r="D1739" s="54">
        <v>45822</v>
      </c>
      <c r="E1739" s="42" t="s">
        <v>249</v>
      </c>
      <c r="F1739" s="76" t="s">
        <v>47</v>
      </c>
      <c r="G1739" s="52">
        <v>-15.82</v>
      </c>
      <c r="H1739" s="32" t="s">
        <v>282</v>
      </c>
    </row>
    <row r="1740" spans="1:8" ht="18.75">
      <c r="A1740" t="s">
        <v>2590</v>
      </c>
      <c r="B1740">
        <v>6</v>
      </c>
      <c r="C1740">
        <v>2025</v>
      </c>
      <c r="D1740" s="54">
        <v>45823</v>
      </c>
      <c r="E1740" s="42" t="s">
        <v>249</v>
      </c>
      <c r="F1740" s="76" t="s">
        <v>52</v>
      </c>
      <c r="G1740" s="52">
        <v>-16.940000000000001</v>
      </c>
      <c r="H1740" s="32" t="s">
        <v>2591</v>
      </c>
    </row>
    <row r="1741" spans="1:8" ht="18.75">
      <c r="A1741" t="s">
        <v>2592</v>
      </c>
      <c r="B1741">
        <v>6</v>
      </c>
      <c r="C1741">
        <v>2025</v>
      </c>
      <c r="D1741" s="54">
        <v>45823</v>
      </c>
      <c r="E1741" s="42" t="s">
        <v>249</v>
      </c>
      <c r="F1741" s="76" t="s">
        <v>65</v>
      </c>
      <c r="G1741" s="52">
        <v>-13.55</v>
      </c>
      <c r="H1741" s="32" t="s">
        <v>601</v>
      </c>
    </row>
    <row r="1742" spans="1:8" ht="18.75">
      <c r="A1742" t="s">
        <v>2593</v>
      </c>
      <c r="B1742">
        <v>6</v>
      </c>
      <c r="C1742">
        <v>2025</v>
      </c>
      <c r="D1742" s="54">
        <v>45823</v>
      </c>
      <c r="E1742" s="42" t="s">
        <v>249</v>
      </c>
      <c r="F1742" s="76" t="s">
        <v>66</v>
      </c>
      <c r="G1742" s="52">
        <v>-6</v>
      </c>
      <c r="H1742" s="32" t="s">
        <v>1577</v>
      </c>
    </row>
    <row r="1743" spans="1:8" ht="18.75">
      <c r="A1743" t="s">
        <v>2594</v>
      </c>
      <c r="B1743">
        <v>6</v>
      </c>
      <c r="C1743">
        <v>2025</v>
      </c>
      <c r="D1743" s="54">
        <v>45824</v>
      </c>
      <c r="E1743" s="42" t="s">
        <v>160</v>
      </c>
      <c r="F1743" s="76" t="s">
        <v>64</v>
      </c>
      <c r="G1743" s="52">
        <v>-287</v>
      </c>
      <c r="H1743" s="32" t="s">
        <v>208</v>
      </c>
    </row>
    <row r="1744" spans="1:8" ht="18.75">
      <c r="A1744" t="s">
        <v>2595</v>
      </c>
      <c r="B1744">
        <v>6</v>
      </c>
      <c r="C1744">
        <v>2025</v>
      </c>
      <c r="D1744" s="54">
        <v>45824</v>
      </c>
      <c r="E1744" s="42" t="s">
        <v>249</v>
      </c>
      <c r="F1744" s="76" t="s">
        <v>79</v>
      </c>
      <c r="G1744" s="52">
        <v>2517.27</v>
      </c>
      <c r="H1744" s="32" t="s">
        <v>1755</v>
      </c>
    </row>
    <row r="1745" spans="1:9" ht="18.75">
      <c r="A1745" t="s">
        <v>2596</v>
      </c>
      <c r="B1745">
        <v>6</v>
      </c>
      <c r="C1745">
        <v>2025</v>
      </c>
      <c r="D1745" s="54">
        <v>45825</v>
      </c>
      <c r="E1745" s="42" t="s">
        <v>160</v>
      </c>
      <c r="F1745" s="76" t="s">
        <v>79</v>
      </c>
      <c r="G1745" s="52">
        <v>-2517.27</v>
      </c>
      <c r="H1745" s="32" t="s">
        <v>214</v>
      </c>
    </row>
    <row r="1746" spans="1:9" ht="18.75">
      <c r="A1746" t="s">
        <v>2597</v>
      </c>
      <c r="B1746">
        <v>6</v>
      </c>
      <c r="C1746">
        <v>2025</v>
      </c>
      <c r="D1746" s="54">
        <v>45825</v>
      </c>
      <c r="E1746" s="42" t="s">
        <v>160</v>
      </c>
      <c r="F1746" s="76" t="s">
        <v>51</v>
      </c>
      <c r="G1746" s="52">
        <v>-125.57</v>
      </c>
      <c r="H1746" s="32" t="s">
        <v>210</v>
      </c>
    </row>
    <row r="1747" spans="1:9" ht="18.75">
      <c r="A1747" t="s">
        <v>2598</v>
      </c>
      <c r="B1747">
        <v>6</v>
      </c>
      <c r="C1747">
        <v>2025</v>
      </c>
      <c r="D1747" s="54">
        <v>45825</v>
      </c>
      <c r="E1747" s="42" t="s">
        <v>249</v>
      </c>
      <c r="F1747" s="76" t="s">
        <v>54</v>
      </c>
      <c r="G1747" s="52">
        <v>-13.79</v>
      </c>
      <c r="H1747" s="32" t="s">
        <v>631</v>
      </c>
    </row>
    <row r="1748" spans="1:9" ht="18.75">
      <c r="A1748" t="s">
        <v>2599</v>
      </c>
      <c r="B1748">
        <v>6</v>
      </c>
      <c r="C1748">
        <v>2025</v>
      </c>
      <c r="D1748" s="54">
        <v>45826</v>
      </c>
      <c r="E1748" s="42" t="s">
        <v>160</v>
      </c>
      <c r="F1748" s="76" t="s">
        <v>79</v>
      </c>
      <c r="G1748" s="52">
        <v>2418.52</v>
      </c>
      <c r="H1748" s="32" t="s">
        <v>1655</v>
      </c>
    </row>
    <row r="1749" spans="1:9" ht="18.75">
      <c r="A1749" t="s">
        <v>2600</v>
      </c>
      <c r="B1749">
        <v>6</v>
      </c>
      <c r="C1749">
        <v>2025</v>
      </c>
      <c r="D1749" s="54">
        <v>45826</v>
      </c>
      <c r="E1749" s="42" t="s">
        <v>160</v>
      </c>
      <c r="F1749" s="76" t="s">
        <v>60</v>
      </c>
      <c r="G1749" s="52">
        <v>-87</v>
      </c>
      <c r="H1749" s="32" t="s">
        <v>212</v>
      </c>
    </row>
    <row r="1750" spans="1:9" ht="18.75">
      <c r="A1750" t="s">
        <v>2601</v>
      </c>
      <c r="B1750">
        <v>6</v>
      </c>
      <c r="C1750">
        <v>2025</v>
      </c>
      <c r="D1750" s="54">
        <v>45827</v>
      </c>
      <c r="E1750" s="42" t="s">
        <v>160</v>
      </c>
      <c r="F1750" s="76" t="s">
        <v>79</v>
      </c>
      <c r="G1750" s="52">
        <v>1318.15</v>
      </c>
      <c r="H1750" s="32" t="s">
        <v>190</v>
      </c>
    </row>
    <row r="1751" spans="1:9" ht="18.75">
      <c r="A1751" t="s">
        <v>2602</v>
      </c>
      <c r="B1751">
        <v>6</v>
      </c>
      <c r="C1751">
        <v>2025</v>
      </c>
      <c r="D1751" s="54">
        <v>45828</v>
      </c>
      <c r="E1751" s="42" t="s">
        <v>160</v>
      </c>
      <c r="F1751" s="76" t="s">
        <v>63</v>
      </c>
      <c r="G1751" s="52">
        <v>-100.8</v>
      </c>
      <c r="H1751" s="32" t="s">
        <v>224</v>
      </c>
    </row>
    <row r="1752" spans="1:9" ht="18.75">
      <c r="A1752" t="s">
        <v>2603</v>
      </c>
      <c r="B1752">
        <v>6</v>
      </c>
      <c r="C1752">
        <v>2025</v>
      </c>
      <c r="D1752" s="54">
        <v>45828</v>
      </c>
      <c r="E1752" s="42" t="s">
        <v>146</v>
      </c>
      <c r="F1752" s="76" t="s">
        <v>47</v>
      </c>
      <c r="G1752" s="52">
        <v>-20</v>
      </c>
      <c r="H1752" s="32" t="s">
        <v>2604</v>
      </c>
    </row>
    <row r="1753" spans="1:9" ht="18.75">
      <c r="A1753" t="s">
        <v>2605</v>
      </c>
      <c r="B1753">
        <v>6</v>
      </c>
      <c r="C1753">
        <v>2025</v>
      </c>
      <c r="D1753" s="54">
        <v>45828</v>
      </c>
      <c r="E1753" s="42" t="s">
        <v>249</v>
      </c>
      <c r="F1753" s="76" t="s">
        <v>59</v>
      </c>
      <c r="G1753" s="52">
        <v>-48.58</v>
      </c>
      <c r="H1753" s="32" t="s">
        <v>1172</v>
      </c>
    </row>
    <row r="1754" spans="1:9" ht="18.75">
      <c r="A1754" t="s">
        <v>2606</v>
      </c>
      <c r="B1754">
        <v>6</v>
      </c>
      <c r="C1754">
        <v>2025</v>
      </c>
      <c r="D1754" s="54">
        <v>45829</v>
      </c>
      <c r="E1754" s="42" t="s">
        <v>249</v>
      </c>
      <c r="F1754" s="76" t="s">
        <v>57</v>
      </c>
      <c r="G1754" s="52">
        <v>-11.86</v>
      </c>
      <c r="H1754" s="32" t="s">
        <v>351</v>
      </c>
    </row>
    <row r="1755" spans="1:9" ht="18.75">
      <c r="A1755" t="s">
        <v>2607</v>
      </c>
      <c r="B1755">
        <v>6</v>
      </c>
      <c r="C1755">
        <v>2025</v>
      </c>
      <c r="D1755" s="54">
        <v>45829</v>
      </c>
      <c r="E1755" s="42" t="s">
        <v>249</v>
      </c>
      <c r="F1755" s="76" t="s">
        <v>52</v>
      </c>
      <c r="G1755" s="52">
        <v>-37.57</v>
      </c>
      <c r="H1755" s="32" t="s">
        <v>282</v>
      </c>
    </row>
    <row r="1756" spans="1:9" ht="18.75">
      <c r="A1756" t="s">
        <v>2608</v>
      </c>
      <c r="B1756">
        <v>6</v>
      </c>
      <c r="C1756">
        <v>2025</v>
      </c>
      <c r="D1756" s="54">
        <v>45830</v>
      </c>
      <c r="E1756" s="42" t="s">
        <v>249</v>
      </c>
      <c r="F1756" s="76" t="s">
        <v>41</v>
      </c>
      <c r="G1756" s="52">
        <v>-36.869999999999997</v>
      </c>
      <c r="H1756" s="32" t="s">
        <v>671</v>
      </c>
    </row>
    <row r="1757" spans="1:9" ht="18.75">
      <c r="A1757" t="s">
        <v>2609</v>
      </c>
      <c r="B1757">
        <v>6</v>
      </c>
      <c r="C1757">
        <v>2025</v>
      </c>
      <c r="D1757" s="54">
        <v>45831</v>
      </c>
      <c r="E1757" s="42" t="s">
        <v>160</v>
      </c>
      <c r="F1757" s="76" t="s">
        <v>42</v>
      </c>
      <c r="G1757" s="52">
        <v>104</v>
      </c>
      <c r="H1757" s="32" t="s">
        <v>2610</v>
      </c>
      <c r="I1757" s="32" t="s">
        <v>2611</v>
      </c>
    </row>
    <row r="1758" spans="1:9" ht="18.75">
      <c r="A1758" t="s">
        <v>2612</v>
      </c>
      <c r="B1758">
        <v>7</v>
      </c>
      <c r="C1758">
        <v>2025</v>
      </c>
      <c r="D1758" s="54">
        <v>45840</v>
      </c>
      <c r="E1758" s="42" t="s">
        <v>160</v>
      </c>
      <c r="F1758" s="76" t="s">
        <v>49</v>
      </c>
      <c r="G1758" s="52">
        <v>-50</v>
      </c>
      <c r="H1758" s="32" t="s">
        <v>173</v>
      </c>
    </row>
    <row r="1759" spans="1:9" ht="18.75">
      <c r="A1759" t="s">
        <v>2613</v>
      </c>
      <c r="B1759">
        <v>6</v>
      </c>
      <c r="C1759">
        <v>2025</v>
      </c>
      <c r="D1759" s="54">
        <v>45831</v>
      </c>
      <c r="E1759" s="42" t="s">
        <v>160</v>
      </c>
      <c r="F1759" s="76" t="s">
        <v>57</v>
      </c>
      <c r="G1759" s="52">
        <v>-70</v>
      </c>
      <c r="H1759" s="32" t="s">
        <v>2614</v>
      </c>
    </row>
    <row r="1760" spans="1:9" ht="18.75">
      <c r="A1760" t="s">
        <v>2615</v>
      </c>
      <c r="B1760">
        <v>6</v>
      </c>
      <c r="C1760">
        <v>2025</v>
      </c>
      <c r="D1760" s="54">
        <v>45831</v>
      </c>
      <c r="E1760" s="42" t="s">
        <v>146</v>
      </c>
      <c r="F1760" s="76" t="s">
        <v>47</v>
      </c>
      <c r="G1760" s="52">
        <v>61.81</v>
      </c>
      <c r="H1760" s="32" t="s">
        <v>2616</v>
      </c>
      <c r="I1760" s="32" t="s">
        <v>2617</v>
      </c>
    </row>
    <row r="1761" spans="1:8" ht="18.75">
      <c r="A1761" t="s">
        <v>2618</v>
      </c>
      <c r="B1761">
        <v>6</v>
      </c>
      <c r="C1761">
        <v>2025</v>
      </c>
      <c r="D1761" s="54">
        <v>45831</v>
      </c>
      <c r="E1761" s="42" t="s">
        <v>146</v>
      </c>
      <c r="F1761" s="76" t="s">
        <v>65</v>
      </c>
      <c r="G1761" s="52">
        <v>70</v>
      </c>
      <c r="H1761" s="32" t="s">
        <v>2619</v>
      </c>
    </row>
    <row r="1762" spans="1:8" ht="18.75">
      <c r="A1762" t="s">
        <v>2620</v>
      </c>
      <c r="B1762">
        <v>6</v>
      </c>
      <c r="C1762">
        <v>2025</v>
      </c>
      <c r="D1762" s="54">
        <v>45831</v>
      </c>
      <c r="E1762" s="42" t="s">
        <v>249</v>
      </c>
      <c r="F1762" s="76" t="s">
        <v>54</v>
      </c>
      <c r="G1762" s="52">
        <v>-9.4700000000000006</v>
      </c>
      <c r="H1762" s="32" t="s">
        <v>2621</v>
      </c>
    </row>
    <row r="1763" spans="1:8" ht="18.75">
      <c r="A1763" t="s">
        <v>2622</v>
      </c>
      <c r="B1763">
        <v>6</v>
      </c>
      <c r="C1763">
        <v>2025</v>
      </c>
      <c r="D1763" s="54">
        <v>45832</v>
      </c>
      <c r="E1763" s="42" t="s">
        <v>160</v>
      </c>
      <c r="F1763" s="76" t="s">
        <v>43</v>
      </c>
      <c r="G1763" s="52">
        <v>-9.0299999999999994</v>
      </c>
      <c r="H1763" s="32" t="s">
        <v>163</v>
      </c>
    </row>
    <row r="1764" spans="1:8" ht="18.75">
      <c r="A1764" t="s">
        <v>2623</v>
      </c>
      <c r="B1764">
        <v>6</v>
      </c>
      <c r="C1764">
        <v>2025</v>
      </c>
      <c r="D1764" s="54">
        <v>45832</v>
      </c>
      <c r="E1764" s="42" t="s">
        <v>160</v>
      </c>
      <c r="F1764" s="76" t="s">
        <v>29</v>
      </c>
      <c r="G1764" s="52">
        <v>-221.5</v>
      </c>
      <c r="H1764" s="32" t="s">
        <v>167</v>
      </c>
    </row>
    <row r="1765" spans="1:8" ht="18.75">
      <c r="A1765" t="s">
        <v>2624</v>
      </c>
      <c r="B1765">
        <v>6</v>
      </c>
      <c r="C1765">
        <v>2025</v>
      </c>
      <c r="D1765" s="54">
        <v>45833</v>
      </c>
      <c r="E1765" s="42" t="s">
        <v>160</v>
      </c>
      <c r="F1765" s="76" t="s">
        <v>48</v>
      </c>
      <c r="G1765" s="52">
        <v>-4</v>
      </c>
      <c r="H1765" s="32" t="s">
        <v>228</v>
      </c>
    </row>
    <row r="1766" spans="1:8" ht="18.75">
      <c r="A1766" t="s">
        <v>2625</v>
      </c>
      <c r="B1766">
        <v>6</v>
      </c>
      <c r="C1766">
        <v>2025</v>
      </c>
      <c r="D1766" s="54">
        <v>45833</v>
      </c>
      <c r="E1766" s="42" t="s">
        <v>160</v>
      </c>
      <c r="F1766" s="76" t="s">
        <v>48</v>
      </c>
      <c r="G1766" s="52">
        <v>-16.25</v>
      </c>
      <c r="H1766" s="32" t="s">
        <v>2626</v>
      </c>
    </row>
    <row r="1767" spans="1:8" ht="18.75">
      <c r="A1767" t="s">
        <v>2627</v>
      </c>
      <c r="B1767">
        <v>6</v>
      </c>
      <c r="C1767">
        <v>2025</v>
      </c>
      <c r="D1767" s="54">
        <v>45833</v>
      </c>
      <c r="E1767" s="42" t="s">
        <v>249</v>
      </c>
      <c r="F1767" s="76" t="s">
        <v>32</v>
      </c>
      <c r="G1767" s="52">
        <v>-5.24</v>
      </c>
      <c r="H1767" s="32" t="s">
        <v>1572</v>
      </c>
    </row>
    <row r="1768" spans="1:8" ht="18.75">
      <c r="A1768" t="s">
        <v>2628</v>
      </c>
      <c r="B1768">
        <v>6</v>
      </c>
      <c r="C1768">
        <v>2025</v>
      </c>
      <c r="D1768" s="54">
        <v>45834</v>
      </c>
      <c r="E1768" s="42" t="s">
        <v>249</v>
      </c>
      <c r="F1768" s="76" t="s">
        <v>48</v>
      </c>
      <c r="G1768" s="52">
        <v>-0.79</v>
      </c>
      <c r="H1768" s="32" t="s">
        <v>2471</v>
      </c>
    </row>
    <row r="1769" spans="1:8" ht="18.75">
      <c r="A1769" t="s">
        <v>2629</v>
      </c>
      <c r="B1769">
        <v>6</v>
      </c>
      <c r="C1769">
        <v>2025</v>
      </c>
      <c r="D1769" s="54">
        <v>45834</v>
      </c>
      <c r="E1769" s="42" t="s">
        <v>249</v>
      </c>
      <c r="F1769" s="76" t="s">
        <v>52</v>
      </c>
      <c r="G1769" s="52">
        <v>-36.090000000000003</v>
      </c>
      <c r="H1769" s="32" t="s">
        <v>282</v>
      </c>
    </row>
    <row r="1770" spans="1:8" ht="18.75">
      <c r="A1770" t="s">
        <v>2630</v>
      </c>
      <c r="B1770">
        <v>6</v>
      </c>
      <c r="C1770">
        <v>2025</v>
      </c>
      <c r="D1770" s="54">
        <v>45835</v>
      </c>
      <c r="E1770" s="42" t="s">
        <v>160</v>
      </c>
      <c r="F1770" s="76" t="s">
        <v>33</v>
      </c>
      <c r="G1770" s="52">
        <v>-443.25</v>
      </c>
      <c r="H1770" s="32" t="s">
        <v>169</v>
      </c>
    </row>
    <row r="1771" spans="1:8" ht="18.75">
      <c r="A1771" t="s">
        <v>2631</v>
      </c>
      <c r="B1771">
        <v>6</v>
      </c>
      <c r="C1771">
        <v>2025</v>
      </c>
      <c r="D1771" s="54">
        <v>45835</v>
      </c>
      <c r="E1771" s="42" t="s">
        <v>249</v>
      </c>
      <c r="F1771" s="76" t="s">
        <v>54</v>
      </c>
      <c r="G1771" s="52">
        <v>-14.07</v>
      </c>
      <c r="H1771" s="32" t="s">
        <v>312</v>
      </c>
    </row>
    <row r="1772" spans="1:8" ht="18.75">
      <c r="A1772" t="s">
        <v>2632</v>
      </c>
      <c r="B1772">
        <v>6</v>
      </c>
      <c r="C1772">
        <v>2025</v>
      </c>
      <c r="D1772" s="54">
        <v>45835</v>
      </c>
      <c r="E1772" s="42" t="s">
        <v>249</v>
      </c>
      <c r="F1772" s="76" t="s">
        <v>45</v>
      </c>
      <c r="G1772" s="52">
        <v>-56.49</v>
      </c>
      <c r="H1772" s="32" t="s">
        <v>2633</v>
      </c>
    </row>
    <row r="1773" spans="1:8" ht="18.75">
      <c r="A1773" t="s">
        <v>2634</v>
      </c>
      <c r="B1773">
        <v>6</v>
      </c>
      <c r="C1773">
        <v>2025</v>
      </c>
      <c r="D1773" s="54">
        <v>45835</v>
      </c>
      <c r="E1773" s="42" t="s">
        <v>249</v>
      </c>
      <c r="F1773" s="76" t="s">
        <v>45</v>
      </c>
      <c r="G1773" s="52">
        <v>-44.06</v>
      </c>
      <c r="H1773" s="32" t="s">
        <v>1521</v>
      </c>
    </row>
    <row r="1774" spans="1:8" ht="18.75">
      <c r="A1774" t="s">
        <v>2635</v>
      </c>
      <c r="B1774">
        <v>6</v>
      </c>
      <c r="C1774">
        <v>2025</v>
      </c>
      <c r="D1774" s="54">
        <v>45836</v>
      </c>
      <c r="E1774" s="42" t="s">
        <v>249</v>
      </c>
      <c r="F1774" s="76" t="s">
        <v>31</v>
      </c>
      <c r="G1774" s="52">
        <v>-50.66</v>
      </c>
      <c r="H1774" s="32" t="s">
        <v>2636</v>
      </c>
    </row>
    <row r="1775" spans="1:8" ht="18.75">
      <c r="A1775" t="s">
        <v>2637</v>
      </c>
      <c r="B1775">
        <v>6</v>
      </c>
      <c r="C1775">
        <v>2025</v>
      </c>
      <c r="D1775" s="54">
        <v>45836</v>
      </c>
      <c r="E1775" s="42" t="s">
        <v>249</v>
      </c>
      <c r="F1775" s="76" t="s">
        <v>31</v>
      </c>
      <c r="G1775" s="52">
        <v>-30.51</v>
      </c>
      <c r="H1775" s="32" t="s">
        <v>2638</v>
      </c>
    </row>
    <row r="1776" spans="1:8" ht="18.75">
      <c r="A1776" t="s">
        <v>2639</v>
      </c>
      <c r="B1776">
        <v>6</v>
      </c>
      <c r="C1776">
        <v>2025</v>
      </c>
      <c r="D1776" s="54">
        <v>45836</v>
      </c>
      <c r="E1776" s="42" t="s">
        <v>249</v>
      </c>
      <c r="F1776" s="76" t="s">
        <v>31</v>
      </c>
      <c r="G1776" s="52">
        <v>-21.46</v>
      </c>
      <c r="H1776" s="32" t="s">
        <v>2640</v>
      </c>
    </row>
    <row r="1777" spans="1:8" ht="18.75">
      <c r="A1777" t="s">
        <v>2641</v>
      </c>
      <c r="B1777">
        <v>6</v>
      </c>
      <c r="C1777">
        <v>2025</v>
      </c>
      <c r="D1777" s="54">
        <v>45836</v>
      </c>
      <c r="E1777" s="42" t="s">
        <v>249</v>
      </c>
      <c r="F1777" s="76" t="s">
        <v>31</v>
      </c>
      <c r="G1777" s="52">
        <v>-10.16</v>
      </c>
      <c r="H1777" s="32" t="s">
        <v>2642</v>
      </c>
    </row>
    <row r="1778" spans="1:8" ht="18.75">
      <c r="A1778" t="s">
        <v>2643</v>
      </c>
      <c r="B1778">
        <v>6</v>
      </c>
      <c r="C1778">
        <v>2025</v>
      </c>
      <c r="D1778" s="54">
        <v>45836</v>
      </c>
      <c r="E1778" s="42" t="s">
        <v>249</v>
      </c>
      <c r="F1778" s="76" t="s">
        <v>31</v>
      </c>
      <c r="G1778" s="52">
        <v>-15.26</v>
      </c>
      <c r="H1778" s="32" t="s">
        <v>2644</v>
      </c>
    </row>
    <row r="1779" spans="1:8" ht="18.75">
      <c r="A1779" t="s">
        <v>2645</v>
      </c>
      <c r="B1779">
        <v>6</v>
      </c>
      <c r="C1779">
        <v>2025</v>
      </c>
      <c r="D1779" s="54">
        <v>45836</v>
      </c>
      <c r="E1779" s="42" t="s">
        <v>249</v>
      </c>
      <c r="F1779" s="76" t="s">
        <v>31</v>
      </c>
      <c r="G1779" s="52">
        <v>-49.44</v>
      </c>
      <c r="H1779" s="32" t="s">
        <v>2644</v>
      </c>
    </row>
    <row r="1780" spans="1:8" ht="18.75">
      <c r="A1780" t="s">
        <v>2646</v>
      </c>
      <c r="B1780">
        <v>6</v>
      </c>
      <c r="C1780">
        <v>2025</v>
      </c>
      <c r="D1780" s="54">
        <v>45836</v>
      </c>
      <c r="E1780" s="42" t="s">
        <v>249</v>
      </c>
      <c r="F1780" s="76" t="s">
        <v>31</v>
      </c>
      <c r="G1780" s="52">
        <v>-33.049999999999997</v>
      </c>
      <c r="H1780" s="32" t="s">
        <v>2647</v>
      </c>
    </row>
    <row r="1781" spans="1:8" ht="18.75">
      <c r="A1781" t="s">
        <v>2648</v>
      </c>
      <c r="B1781">
        <v>6</v>
      </c>
      <c r="C1781">
        <v>2025</v>
      </c>
      <c r="D1781" s="54">
        <v>45837</v>
      </c>
      <c r="E1781" s="42" t="s">
        <v>249</v>
      </c>
      <c r="F1781" s="76" t="s">
        <v>31</v>
      </c>
      <c r="G1781" s="52">
        <v>-66.099999999999994</v>
      </c>
      <c r="H1781" s="32" t="s">
        <v>2644</v>
      </c>
    </row>
    <row r="1782" spans="1:8" ht="18.75">
      <c r="A1782" t="s">
        <v>2649</v>
      </c>
      <c r="B1782">
        <v>6</v>
      </c>
      <c r="C1782">
        <v>2025</v>
      </c>
      <c r="D1782" s="54">
        <v>45837</v>
      </c>
      <c r="E1782" s="42" t="s">
        <v>249</v>
      </c>
      <c r="F1782" s="76" t="s">
        <v>31</v>
      </c>
      <c r="G1782" s="52">
        <v>-13.56</v>
      </c>
      <c r="H1782" s="32" t="s">
        <v>2650</v>
      </c>
    </row>
    <row r="1783" spans="1:8" ht="18.75">
      <c r="A1783" t="s">
        <v>2651</v>
      </c>
      <c r="B1783">
        <v>6</v>
      </c>
      <c r="C1783">
        <v>2025</v>
      </c>
      <c r="D1783" s="54">
        <v>45837</v>
      </c>
      <c r="E1783" s="42" t="s">
        <v>249</v>
      </c>
      <c r="F1783" s="76" t="s">
        <v>52</v>
      </c>
      <c r="G1783" s="52">
        <v>-13.82</v>
      </c>
      <c r="H1783" s="32" t="s">
        <v>2652</v>
      </c>
    </row>
    <row r="1784" spans="1:8" ht="18.75">
      <c r="A1784" t="s">
        <v>2653</v>
      </c>
      <c r="B1784">
        <v>6</v>
      </c>
      <c r="C1784">
        <v>2025</v>
      </c>
      <c r="D1784" s="54">
        <v>45837</v>
      </c>
      <c r="E1784" s="42" t="s">
        <v>249</v>
      </c>
      <c r="F1784" s="76" t="s">
        <v>31</v>
      </c>
      <c r="G1784" s="52">
        <v>-40.68</v>
      </c>
      <c r="H1784" s="32" t="s">
        <v>2654</v>
      </c>
    </row>
    <row r="1785" spans="1:8" ht="18.75">
      <c r="A1785" t="s">
        <v>2655</v>
      </c>
      <c r="B1785">
        <v>6</v>
      </c>
      <c r="C1785">
        <v>2025</v>
      </c>
      <c r="D1785" s="54">
        <v>45837</v>
      </c>
      <c r="E1785" s="42" t="s">
        <v>249</v>
      </c>
      <c r="F1785" s="76" t="s">
        <v>32</v>
      </c>
      <c r="G1785" s="52">
        <v>-39.04</v>
      </c>
      <c r="H1785" s="32" t="s">
        <v>646</v>
      </c>
    </row>
    <row r="1786" spans="1:8" ht="18.75">
      <c r="A1786" t="s">
        <v>2656</v>
      </c>
      <c r="B1786">
        <v>6</v>
      </c>
      <c r="C1786">
        <v>2025</v>
      </c>
      <c r="D1786" s="54">
        <v>45838</v>
      </c>
      <c r="E1786" s="42" t="s">
        <v>249</v>
      </c>
      <c r="F1786" s="76" t="s">
        <v>55</v>
      </c>
      <c r="G1786" s="52">
        <v>-25.97</v>
      </c>
      <c r="H1786" s="32" t="s">
        <v>351</v>
      </c>
    </row>
    <row r="1787" spans="1:8" ht="18.75">
      <c r="A1787" t="s">
        <v>2657</v>
      </c>
      <c r="B1787">
        <v>6</v>
      </c>
      <c r="C1787">
        <v>2025</v>
      </c>
      <c r="D1787" s="54">
        <v>45838</v>
      </c>
      <c r="E1787" s="42" t="s">
        <v>249</v>
      </c>
      <c r="F1787" s="76" t="s">
        <v>57</v>
      </c>
      <c r="G1787" s="52">
        <v>-90.14</v>
      </c>
      <c r="H1787" s="32" t="s">
        <v>351</v>
      </c>
    </row>
    <row r="1788" spans="1:8" ht="18.75">
      <c r="A1788" t="s">
        <v>2658</v>
      </c>
      <c r="B1788">
        <v>6</v>
      </c>
      <c r="C1788">
        <v>2025</v>
      </c>
      <c r="D1788" s="54">
        <v>45838</v>
      </c>
      <c r="E1788" s="42" t="s">
        <v>249</v>
      </c>
      <c r="F1788" s="76" t="s">
        <v>52</v>
      </c>
      <c r="G1788" s="52">
        <v>-17.79</v>
      </c>
      <c r="H1788" s="32" t="s">
        <v>282</v>
      </c>
    </row>
    <row r="1789" spans="1:8" ht="18.75">
      <c r="B1789">
        <v>7</v>
      </c>
      <c r="C1789">
        <v>2025</v>
      </c>
      <c r="D1789" s="54">
        <v>45840</v>
      </c>
      <c r="E1789" s="42" t="s">
        <v>146</v>
      </c>
      <c r="F1789" s="76" t="s">
        <v>45</v>
      </c>
      <c r="G1789" s="52">
        <f>171.8-G1791</f>
        <v>165.02</v>
      </c>
      <c r="H1789" s="32" t="s">
        <v>2659</v>
      </c>
    </row>
    <row r="1790" spans="1:8" ht="18.75">
      <c r="B1790">
        <v>7</v>
      </c>
      <c r="C1790">
        <v>2025</v>
      </c>
      <c r="D1790" s="54">
        <v>45840</v>
      </c>
      <c r="E1790" s="42" t="s">
        <v>146</v>
      </c>
      <c r="F1790" s="76" t="s">
        <v>31</v>
      </c>
      <c r="G1790" s="52">
        <v>100</v>
      </c>
      <c r="H1790" s="32" t="s">
        <v>2659</v>
      </c>
    </row>
    <row r="1791" spans="1:8" ht="18.75">
      <c r="B1791">
        <v>7</v>
      </c>
      <c r="C1791">
        <v>2025</v>
      </c>
      <c r="D1791" s="54">
        <v>45840</v>
      </c>
      <c r="E1791" s="42" t="s">
        <v>146</v>
      </c>
      <c r="F1791" s="76" t="s">
        <v>35</v>
      </c>
      <c r="G1791" s="52">
        <v>6.7800000000000011</v>
      </c>
      <c r="H1791" s="32" t="s">
        <v>2659</v>
      </c>
    </row>
    <row r="1792" spans="1:8" ht="18.75">
      <c r="B1792">
        <v>7</v>
      </c>
      <c r="C1792">
        <v>2025</v>
      </c>
      <c r="D1792" s="54">
        <v>45840</v>
      </c>
      <c r="E1792" s="42" t="s">
        <v>146</v>
      </c>
      <c r="F1792" s="76" t="s">
        <v>29</v>
      </c>
      <c r="G1792" s="52">
        <v>-11.5</v>
      </c>
      <c r="H1792" s="32" t="s">
        <v>1299</v>
      </c>
    </row>
    <row r="1793" spans="1:8" ht="18.75">
      <c r="B1793">
        <v>7</v>
      </c>
      <c r="C1793">
        <v>2025</v>
      </c>
      <c r="D1793" s="54">
        <v>45840</v>
      </c>
      <c r="E1793" s="42" t="s">
        <v>146</v>
      </c>
      <c r="F1793" s="76" t="s">
        <v>54</v>
      </c>
      <c r="G1793" s="52">
        <v>11.5</v>
      </c>
      <c r="H1793" s="32" t="s">
        <v>1299</v>
      </c>
    </row>
    <row r="1794" spans="1:8" ht="18.75">
      <c r="B1794">
        <v>7</v>
      </c>
      <c r="C1794">
        <v>2025</v>
      </c>
      <c r="D1794" s="54">
        <v>45840</v>
      </c>
      <c r="E1794" s="42" t="s">
        <v>146</v>
      </c>
      <c r="F1794" s="76" t="s">
        <v>31</v>
      </c>
      <c r="G1794" s="52">
        <v>900</v>
      </c>
      <c r="H1794" s="32" t="s">
        <v>2660</v>
      </c>
    </row>
    <row r="1795" spans="1:8" ht="18.75">
      <c r="B1795">
        <v>7</v>
      </c>
      <c r="C1795">
        <v>2025</v>
      </c>
      <c r="D1795" s="54">
        <v>45840</v>
      </c>
      <c r="E1795" s="42" t="s">
        <v>146</v>
      </c>
      <c r="F1795" s="76" t="s">
        <v>58</v>
      </c>
      <c r="G1795" s="52">
        <v>291.67</v>
      </c>
      <c r="H1795" s="32" t="s">
        <v>2661</v>
      </c>
    </row>
    <row r="1796" spans="1:8" ht="18.75">
      <c r="A1796" t="s">
        <v>2662</v>
      </c>
      <c r="B1796">
        <v>7</v>
      </c>
      <c r="C1796">
        <v>2025</v>
      </c>
      <c r="D1796" s="54">
        <v>45840</v>
      </c>
      <c r="E1796" s="42" t="s">
        <v>249</v>
      </c>
      <c r="F1796" s="76" t="s">
        <v>59</v>
      </c>
      <c r="G1796" s="52">
        <v>-8</v>
      </c>
      <c r="H1796" s="32" t="s">
        <v>2663</v>
      </c>
    </row>
    <row r="1797" spans="1:8" ht="18.75">
      <c r="A1797" t="s">
        <v>2664</v>
      </c>
      <c r="B1797">
        <v>7</v>
      </c>
      <c r="C1797">
        <v>2025</v>
      </c>
      <c r="D1797" s="54">
        <v>45840</v>
      </c>
      <c r="E1797" s="42" t="s">
        <v>249</v>
      </c>
      <c r="F1797" s="76" t="s">
        <v>31</v>
      </c>
      <c r="G1797" s="52">
        <v>-434.46</v>
      </c>
      <c r="H1797" s="32" t="s">
        <v>1539</v>
      </c>
    </row>
    <row r="1798" spans="1:8" ht="18.75">
      <c r="A1798" t="s">
        <v>2665</v>
      </c>
      <c r="B1798">
        <v>7</v>
      </c>
      <c r="C1798">
        <v>2025</v>
      </c>
      <c r="D1798" s="54">
        <v>45840</v>
      </c>
      <c r="E1798" s="42" t="s">
        <v>146</v>
      </c>
      <c r="F1798" s="76" t="s">
        <v>50</v>
      </c>
      <c r="G1798" s="52">
        <v>126.9</v>
      </c>
      <c r="H1798" s="32" t="s">
        <v>2666</v>
      </c>
    </row>
    <row r="1799" spans="1:8" ht="18.75">
      <c r="A1799" t="s">
        <v>2667</v>
      </c>
      <c r="B1799">
        <v>7</v>
      </c>
      <c r="C1799">
        <v>2025</v>
      </c>
      <c r="D1799" s="54">
        <v>45840</v>
      </c>
      <c r="E1799" s="42" t="s">
        <v>146</v>
      </c>
      <c r="F1799" s="76" t="s">
        <v>79</v>
      </c>
      <c r="G1799" s="52">
        <v>2876.12</v>
      </c>
      <c r="H1799" s="32" t="s">
        <v>2668</v>
      </c>
    </row>
    <row r="1800" spans="1:8" ht="18.75">
      <c r="A1800" t="s">
        <v>2669</v>
      </c>
      <c r="B1800">
        <v>7</v>
      </c>
      <c r="C1800">
        <v>2025</v>
      </c>
      <c r="D1800" s="54">
        <v>45840</v>
      </c>
      <c r="E1800" s="42" t="s">
        <v>146</v>
      </c>
      <c r="F1800" s="76" t="s">
        <v>48</v>
      </c>
      <c r="G1800" s="52">
        <v>5.24</v>
      </c>
      <c r="H1800" s="32" t="s">
        <v>175</v>
      </c>
    </row>
    <row r="1801" spans="1:8" ht="18.75">
      <c r="A1801" t="s">
        <v>2670</v>
      </c>
      <c r="B1801">
        <v>7</v>
      </c>
      <c r="C1801">
        <v>2025</v>
      </c>
      <c r="D1801" s="54">
        <v>45840</v>
      </c>
      <c r="E1801" s="42" t="s">
        <v>160</v>
      </c>
      <c r="F1801" s="76" t="s">
        <v>42</v>
      </c>
      <c r="G1801" s="52">
        <v>125</v>
      </c>
      <c r="H1801" s="32" t="s">
        <v>2671</v>
      </c>
    </row>
    <row r="1802" spans="1:8" ht="18.75">
      <c r="A1802" t="s">
        <v>2672</v>
      </c>
      <c r="B1802">
        <v>7</v>
      </c>
      <c r="C1802">
        <v>2025</v>
      </c>
      <c r="D1802" s="54">
        <v>45840</v>
      </c>
      <c r="E1802" s="42" t="s">
        <v>160</v>
      </c>
      <c r="F1802" s="76" t="s">
        <v>79</v>
      </c>
      <c r="G1802" s="52">
        <v>2401.66</v>
      </c>
      <c r="H1802" s="32" t="s">
        <v>1655</v>
      </c>
    </row>
    <row r="1803" spans="1:8" ht="18.75">
      <c r="A1803" t="s">
        <v>2673</v>
      </c>
      <c r="B1803">
        <v>7</v>
      </c>
      <c r="C1803">
        <v>2025</v>
      </c>
      <c r="D1803" s="54">
        <v>45845</v>
      </c>
      <c r="E1803" s="42" t="s">
        <v>160</v>
      </c>
      <c r="F1803" s="76" t="s">
        <v>49</v>
      </c>
      <c r="G1803" s="52">
        <v>-50</v>
      </c>
      <c r="H1803" s="32" t="s">
        <v>161</v>
      </c>
    </row>
    <row r="1804" spans="1:8" ht="18.75">
      <c r="A1804" t="s">
        <v>2674</v>
      </c>
      <c r="B1804">
        <v>7</v>
      </c>
      <c r="C1804">
        <v>2025</v>
      </c>
      <c r="D1804" s="54">
        <v>45840</v>
      </c>
      <c r="E1804" s="42" t="s">
        <v>160</v>
      </c>
      <c r="F1804" s="76" t="s">
        <v>40</v>
      </c>
      <c r="G1804" s="52">
        <v>-100</v>
      </c>
      <c r="H1804" s="32" t="s">
        <v>2675</v>
      </c>
    </row>
    <row r="1805" spans="1:8" ht="18.75">
      <c r="A1805" t="s">
        <v>2676</v>
      </c>
      <c r="B1805">
        <v>7</v>
      </c>
      <c r="C1805">
        <v>2025</v>
      </c>
      <c r="D1805" s="54">
        <v>45840</v>
      </c>
      <c r="E1805" s="42" t="s">
        <v>160</v>
      </c>
      <c r="F1805" s="76" t="s">
        <v>40</v>
      </c>
      <c r="G1805" s="52">
        <v>-200</v>
      </c>
      <c r="H1805" s="32" t="s">
        <v>2677</v>
      </c>
    </row>
    <row r="1806" spans="1:8" ht="18.75">
      <c r="A1806" t="s">
        <v>2678</v>
      </c>
      <c r="B1806">
        <v>7</v>
      </c>
      <c r="C1806">
        <v>2025</v>
      </c>
      <c r="D1806" s="54">
        <v>45840</v>
      </c>
      <c r="E1806" s="42" t="s">
        <v>160</v>
      </c>
      <c r="F1806" s="76" t="s">
        <v>79</v>
      </c>
      <c r="G1806" s="52">
        <v>-2876.12</v>
      </c>
      <c r="H1806" s="32" t="s">
        <v>2679</v>
      </c>
    </row>
    <row r="1807" spans="1:8" ht="18.75">
      <c r="A1807" t="s">
        <v>2680</v>
      </c>
      <c r="B1807">
        <v>7</v>
      </c>
      <c r="C1807">
        <v>2025</v>
      </c>
      <c r="D1807" s="54">
        <v>45841</v>
      </c>
      <c r="E1807" s="42" t="s">
        <v>249</v>
      </c>
      <c r="F1807" s="76" t="s">
        <v>58</v>
      </c>
      <c r="G1807" s="52">
        <v>-18.93</v>
      </c>
      <c r="H1807" s="32" t="s">
        <v>308</v>
      </c>
    </row>
    <row r="1808" spans="1:8" ht="18.75">
      <c r="A1808" t="s">
        <v>2681</v>
      </c>
      <c r="B1808">
        <v>7</v>
      </c>
      <c r="C1808">
        <v>2025</v>
      </c>
      <c r="D1808" s="54">
        <v>45841</v>
      </c>
      <c r="E1808" s="42" t="s">
        <v>249</v>
      </c>
      <c r="F1808" s="76" t="s">
        <v>55</v>
      </c>
      <c r="G1808" s="52">
        <v>-136.12</v>
      </c>
      <c r="H1808" s="32" t="s">
        <v>356</v>
      </c>
    </row>
    <row r="1809" spans="1:8" ht="18.75">
      <c r="A1809" t="s">
        <v>2682</v>
      </c>
      <c r="B1809">
        <v>7</v>
      </c>
      <c r="C1809">
        <v>2025</v>
      </c>
      <c r="D1809" s="54">
        <v>45841</v>
      </c>
      <c r="E1809" s="42" t="s">
        <v>146</v>
      </c>
      <c r="F1809" s="76" t="s">
        <v>79</v>
      </c>
      <c r="G1809" s="52">
        <v>271.8</v>
      </c>
      <c r="H1809" s="32" t="s">
        <v>2683</v>
      </c>
    </row>
    <row r="1810" spans="1:8" ht="18.75">
      <c r="A1810" t="s">
        <v>2684</v>
      </c>
      <c r="B1810">
        <v>7</v>
      </c>
      <c r="C1810">
        <v>2025</v>
      </c>
      <c r="D1810" s="54">
        <v>45841</v>
      </c>
      <c r="E1810" s="42" t="s">
        <v>146</v>
      </c>
      <c r="F1810" s="76" t="s">
        <v>79</v>
      </c>
      <c r="G1810" s="52">
        <v>1288.3</v>
      </c>
      <c r="H1810" s="32" t="s">
        <v>2685</v>
      </c>
    </row>
    <row r="1811" spans="1:8" ht="18.75">
      <c r="A1811" t="s">
        <v>2686</v>
      </c>
      <c r="B1811">
        <v>7</v>
      </c>
      <c r="C1811">
        <v>2025</v>
      </c>
      <c r="D1811" s="54">
        <v>45841</v>
      </c>
      <c r="E1811" s="42" t="s">
        <v>146</v>
      </c>
      <c r="F1811" s="76" t="s">
        <v>79</v>
      </c>
      <c r="G1811" s="52">
        <v>-6647.71</v>
      </c>
      <c r="H1811" s="32" t="s">
        <v>2687</v>
      </c>
    </row>
    <row r="1812" spans="1:8" ht="18.75">
      <c r="A1812" t="s">
        <v>2688</v>
      </c>
      <c r="B1812">
        <v>7</v>
      </c>
      <c r="C1812">
        <v>2025</v>
      </c>
      <c r="D1812" s="54">
        <v>45841</v>
      </c>
      <c r="E1812" s="42" t="s">
        <v>160</v>
      </c>
      <c r="F1812" s="76" t="s">
        <v>79</v>
      </c>
      <c r="G1812" s="52">
        <v>6647.71</v>
      </c>
      <c r="H1812" s="32" t="s">
        <v>2689</v>
      </c>
    </row>
    <row r="1813" spans="1:8" ht="18.75">
      <c r="A1813" t="s">
        <v>2690</v>
      </c>
      <c r="B1813">
        <v>7</v>
      </c>
      <c r="C1813">
        <v>2025</v>
      </c>
      <c r="D1813" s="54">
        <v>45841</v>
      </c>
      <c r="E1813" s="42" t="s">
        <v>160</v>
      </c>
      <c r="F1813" s="76" t="s">
        <v>79</v>
      </c>
      <c r="G1813" s="52">
        <v>1327.81</v>
      </c>
      <c r="H1813" s="32" t="s">
        <v>190</v>
      </c>
    </row>
    <row r="1814" spans="1:8" ht="18.75">
      <c r="A1814" t="s">
        <v>2691</v>
      </c>
      <c r="B1814">
        <v>7</v>
      </c>
      <c r="C1814">
        <v>2025</v>
      </c>
      <c r="D1814" s="54">
        <v>45841</v>
      </c>
      <c r="E1814" s="42" t="s">
        <v>160</v>
      </c>
      <c r="F1814" s="76" t="s">
        <v>40</v>
      </c>
      <c r="G1814" s="52">
        <v>-100</v>
      </c>
      <c r="H1814" s="32" t="s">
        <v>2692</v>
      </c>
    </row>
    <row r="1815" spans="1:8" ht="18.75">
      <c r="A1815" t="s">
        <v>2693</v>
      </c>
      <c r="B1815">
        <v>7</v>
      </c>
      <c r="C1815">
        <v>2025</v>
      </c>
      <c r="D1815" s="54">
        <v>45841</v>
      </c>
      <c r="E1815" s="42" t="s">
        <v>160</v>
      </c>
      <c r="F1815" s="76" t="s">
        <v>79</v>
      </c>
      <c r="G1815" s="52">
        <v>-1288.3</v>
      </c>
      <c r="H1815" s="32" t="s">
        <v>2694</v>
      </c>
    </row>
    <row r="1816" spans="1:8" ht="18.75">
      <c r="A1816" t="s">
        <v>2695</v>
      </c>
      <c r="B1816">
        <v>7</v>
      </c>
      <c r="C1816">
        <v>2025</v>
      </c>
      <c r="D1816" s="54">
        <v>45842</v>
      </c>
      <c r="E1816" s="42" t="s">
        <v>249</v>
      </c>
      <c r="F1816" s="76" t="s">
        <v>46</v>
      </c>
      <c r="G1816" s="52">
        <v>-20</v>
      </c>
      <c r="H1816" s="32" t="s">
        <v>268</v>
      </c>
    </row>
    <row r="1817" spans="1:8" ht="18.75">
      <c r="A1817" t="s">
        <v>2696</v>
      </c>
      <c r="B1817">
        <v>7</v>
      </c>
      <c r="C1817">
        <v>2025</v>
      </c>
      <c r="D1817" s="54">
        <v>45843</v>
      </c>
      <c r="E1817" s="42" t="s">
        <v>249</v>
      </c>
      <c r="F1817" s="76" t="s">
        <v>45</v>
      </c>
      <c r="G1817" s="52">
        <v>-106.21</v>
      </c>
      <c r="H1817" s="32" t="s">
        <v>1521</v>
      </c>
    </row>
    <row r="1818" spans="1:8" ht="18.75">
      <c r="A1818" t="s">
        <v>2697</v>
      </c>
      <c r="B1818">
        <v>7</v>
      </c>
      <c r="C1818">
        <v>2025</v>
      </c>
      <c r="D1818" s="54">
        <v>45844</v>
      </c>
      <c r="E1818" s="42" t="s">
        <v>249</v>
      </c>
      <c r="F1818" s="76" t="s">
        <v>57</v>
      </c>
      <c r="G1818" s="52">
        <v>-125.44</v>
      </c>
      <c r="H1818" s="32" t="s">
        <v>351</v>
      </c>
    </row>
    <row r="1819" spans="1:8" ht="18.75">
      <c r="A1819" t="s">
        <v>2698</v>
      </c>
      <c r="B1819">
        <v>7</v>
      </c>
      <c r="C1819">
        <v>2025</v>
      </c>
      <c r="D1819" s="54">
        <v>45845</v>
      </c>
      <c r="E1819" s="42" t="s">
        <v>249</v>
      </c>
      <c r="F1819" s="76" t="s">
        <v>57</v>
      </c>
      <c r="G1819" s="52">
        <v>-9.59</v>
      </c>
      <c r="H1819" s="32" t="s">
        <v>2699</v>
      </c>
    </row>
    <row r="1820" spans="1:8" ht="18.75">
      <c r="A1820" t="s">
        <v>2700</v>
      </c>
      <c r="B1820">
        <v>7</v>
      </c>
      <c r="C1820">
        <v>2025</v>
      </c>
      <c r="D1820" s="54">
        <v>45845</v>
      </c>
      <c r="E1820" s="42" t="s">
        <v>249</v>
      </c>
      <c r="F1820" s="76" t="s">
        <v>42</v>
      </c>
      <c r="G1820" s="52">
        <v>-25.98</v>
      </c>
      <c r="H1820" s="32" t="s">
        <v>1833</v>
      </c>
    </row>
    <row r="1821" spans="1:8" ht="18.75">
      <c r="A1821" t="s">
        <v>2701</v>
      </c>
      <c r="B1821">
        <v>7</v>
      </c>
      <c r="C1821">
        <v>2025</v>
      </c>
      <c r="D1821" s="54">
        <v>45845</v>
      </c>
      <c r="E1821" s="42" t="s">
        <v>249</v>
      </c>
      <c r="F1821" s="76" t="s">
        <v>32</v>
      </c>
      <c r="G1821" s="52">
        <v>-48.73</v>
      </c>
      <c r="H1821" s="32" t="s">
        <v>1572</v>
      </c>
    </row>
    <row r="1822" spans="1:8" ht="18.75">
      <c r="A1822" t="s">
        <v>2702</v>
      </c>
      <c r="B1822">
        <v>7</v>
      </c>
      <c r="C1822">
        <v>2025</v>
      </c>
      <c r="D1822" s="54">
        <v>45845</v>
      </c>
      <c r="E1822" s="42" t="s">
        <v>249</v>
      </c>
      <c r="F1822" s="76" t="s">
        <v>65</v>
      </c>
      <c r="G1822" s="52">
        <v>-182.5</v>
      </c>
      <c r="H1822" s="32" t="s">
        <v>258</v>
      </c>
    </row>
    <row r="1823" spans="1:8" ht="18.75">
      <c r="A1823" t="s">
        <v>2703</v>
      </c>
      <c r="B1823">
        <v>7</v>
      </c>
      <c r="C1823">
        <v>2025</v>
      </c>
      <c r="D1823" s="54">
        <v>45859</v>
      </c>
      <c r="E1823" s="42" t="s">
        <v>160</v>
      </c>
      <c r="F1823" s="76" t="s">
        <v>49</v>
      </c>
      <c r="G1823" s="52">
        <v>-50</v>
      </c>
      <c r="H1823" s="32" t="s">
        <v>161</v>
      </c>
    </row>
    <row r="1824" spans="1:8" ht="18.75">
      <c r="A1824" t="s">
        <v>2704</v>
      </c>
      <c r="B1824">
        <v>7</v>
      </c>
      <c r="C1824">
        <v>2025</v>
      </c>
      <c r="D1824" s="54">
        <v>45845</v>
      </c>
      <c r="E1824" s="42" t="s">
        <v>160</v>
      </c>
      <c r="F1824" s="76" t="s">
        <v>30</v>
      </c>
      <c r="G1824" s="52">
        <v>-230.75</v>
      </c>
      <c r="H1824" s="32" t="s">
        <v>196</v>
      </c>
    </row>
    <row r="1825" spans="1:8" ht="18.75">
      <c r="A1825" t="s">
        <v>2705</v>
      </c>
      <c r="B1825">
        <v>7</v>
      </c>
      <c r="C1825">
        <v>2025</v>
      </c>
      <c r="D1825" s="54">
        <v>45846</v>
      </c>
      <c r="E1825" s="42" t="s">
        <v>160</v>
      </c>
      <c r="F1825" s="76" t="s">
        <v>43</v>
      </c>
      <c r="G1825" s="52">
        <v>-9.0299999999999994</v>
      </c>
      <c r="H1825" s="32" t="s">
        <v>163</v>
      </c>
    </row>
    <row r="1826" spans="1:8" ht="18.75">
      <c r="A1826" t="s">
        <v>2706</v>
      </c>
      <c r="B1826">
        <v>7</v>
      </c>
      <c r="C1826">
        <v>2025</v>
      </c>
      <c r="D1826" s="54">
        <v>45846</v>
      </c>
      <c r="E1826" s="42" t="s">
        <v>160</v>
      </c>
      <c r="F1826" s="76" t="s">
        <v>51</v>
      </c>
      <c r="G1826" s="52">
        <v>-125.87</v>
      </c>
      <c r="H1826" s="32" t="s">
        <v>199</v>
      </c>
    </row>
    <row r="1827" spans="1:8" ht="18.75">
      <c r="A1827" t="s">
        <v>2707</v>
      </c>
      <c r="B1827">
        <v>7</v>
      </c>
      <c r="C1827">
        <v>2025</v>
      </c>
      <c r="D1827" s="54">
        <v>45847</v>
      </c>
      <c r="E1827" s="42" t="s">
        <v>249</v>
      </c>
      <c r="F1827" s="76" t="s">
        <v>79</v>
      </c>
      <c r="G1827" s="52">
        <v>8264</v>
      </c>
      <c r="H1827" s="32" t="s">
        <v>402</v>
      </c>
    </row>
    <row r="1828" spans="1:8" ht="18.75">
      <c r="A1828" t="s">
        <v>2708</v>
      </c>
      <c r="B1828">
        <v>7</v>
      </c>
      <c r="C1828">
        <v>2025</v>
      </c>
      <c r="D1828" s="54">
        <v>45848</v>
      </c>
      <c r="E1828" s="42" t="s">
        <v>249</v>
      </c>
      <c r="F1828" s="76" t="s">
        <v>35</v>
      </c>
      <c r="G1828" s="52">
        <v>-91.53</v>
      </c>
      <c r="H1828" s="32" t="s">
        <v>285</v>
      </c>
    </row>
    <row r="1829" spans="1:8" ht="18.75">
      <c r="A1829" t="s">
        <v>2709</v>
      </c>
      <c r="B1829">
        <v>7</v>
      </c>
      <c r="C1829">
        <v>2025</v>
      </c>
      <c r="D1829" s="54">
        <v>45848</v>
      </c>
      <c r="E1829" s="42" t="s">
        <v>160</v>
      </c>
      <c r="F1829" s="76" t="s">
        <v>36</v>
      </c>
      <c r="G1829" s="52">
        <v>-143.09</v>
      </c>
      <c r="H1829" s="32" t="s">
        <v>2710</v>
      </c>
    </row>
    <row r="1830" spans="1:8" ht="18.75">
      <c r="A1830" t="s">
        <v>2711</v>
      </c>
      <c r="B1830">
        <v>7</v>
      </c>
      <c r="C1830">
        <v>2025</v>
      </c>
      <c r="D1830" s="54">
        <v>45848</v>
      </c>
      <c r="E1830" s="42" t="s">
        <v>160</v>
      </c>
      <c r="F1830" s="76" t="s">
        <v>79</v>
      </c>
      <c r="G1830" s="52">
        <v>-8264</v>
      </c>
      <c r="H1830" s="32" t="s">
        <v>2712</v>
      </c>
    </row>
    <row r="1831" spans="1:8" ht="18.75">
      <c r="A1831" t="s">
        <v>2713</v>
      </c>
      <c r="B1831">
        <v>7</v>
      </c>
      <c r="C1831">
        <v>2025</v>
      </c>
      <c r="D1831" s="54">
        <v>45849</v>
      </c>
      <c r="E1831" s="42" t="s">
        <v>249</v>
      </c>
      <c r="F1831" s="76" t="s">
        <v>57</v>
      </c>
      <c r="G1831" s="52">
        <v>-20</v>
      </c>
      <c r="H1831" s="32" t="s">
        <v>351</v>
      </c>
    </row>
    <row r="1832" spans="1:8" ht="18.75">
      <c r="A1832" t="s">
        <v>2713</v>
      </c>
      <c r="B1832">
        <v>7</v>
      </c>
      <c r="C1832">
        <v>2025</v>
      </c>
      <c r="D1832" s="54">
        <v>45849</v>
      </c>
      <c r="E1832" s="42" t="s">
        <v>249</v>
      </c>
      <c r="F1832" s="76" t="s">
        <v>34</v>
      </c>
      <c r="G1832" s="52">
        <f>-92.01+G1831*-1</f>
        <v>-72.010000000000005</v>
      </c>
      <c r="H1832" s="32" t="s">
        <v>351</v>
      </c>
    </row>
    <row r="1833" spans="1:8" ht="18.75">
      <c r="A1833" t="s">
        <v>2714</v>
      </c>
      <c r="B1833">
        <v>7</v>
      </c>
      <c r="C1833">
        <v>2025</v>
      </c>
      <c r="D1833" s="54">
        <v>45849</v>
      </c>
      <c r="E1833" s="42" t="s">
        <v>249</v>
      </c>
      <c r="F1833" s="76" t="s">
        <v>34</v>
      </c>
      <c r="G1833" s="52">
        <v>-37.700000000000003</v>
      </c>
      <c r="H1833" s="32" t="s">
        <v>727</v>
      </c>
    </row>
    <row r="1834" spans="1:8" ht="18.75">
      <c r="A1834" t="s">
        <v>2715</v>
      </c>
      <c r="B1834">
        <v>7</v>
      </c>
      <c r="C1834">
        <v>2025</v>
      </c>
      <c r="D1834" s="54">
        <v>45849</v>
      </c>
      <c r="E1834" s="42" t="s">
        <v>249</v>
      </c>
      <c r="F1834" s="76" t="s">
        <v>54</v>
      </c>
      <c r="G1834" s="52">
        <v>-5.97</v>
      </c>
      <c r="H1834" s="32" t="s">
        <v>2716</v>
      </c>
    </row>
    <row r="1835" spans="1:8" ht="18.75">
      <c r="A1835" t="s">
        <v>2717</v>
      </c>
      <c r="B1835">
        <v>7</v>
      </c>
      <c r="C1835">
        <v>2025</v>
      </c>
      <c r="D1835" s="54">
        <v>45849</v>
      </c>
      <c r="E1835" s="42" t="s">
        <v>249</v>
      </c>
      <c r="F1835" s="76" t="s">
        <v>57</v>
      </c>
      <c r="G1835" s="52">
        <v>-5.99</v>
      </c>
      <c r="H1835" s="32" t="s">
        <v>351</v>
      </c>
    </row>
    <row r="1836" spans="1:8" ht="18.75">
      <c r="A1836" t="s">
        <v>2718</v>
      </c>
      <c r="B1836">
        <v>7</v>
      </c>
      <c r="C1836">
        <v>2025</v>
      </c>
      <c r="D1836" s="54">
        <v>45849</v>
      </c>
      <c r="E1836" s="42" t="s">
        <v>249</v>
      </c>
      <c r="F1836" s="76" t="s">
        <v>32</v>
      </c>
      <c r="G1836" s="52">
        <v>-112.3</v>
      </c>
      <c r="H1836" s="32" t="s">
        <v>1727</v>
      </c>
    </row>
    <row r="1837" spans="1:8" ht="18.75">
      <c r="A1837" t="s">
        <v>2719</v>
      </c>
      <c r="B1837">
        <v>7</v>
      </c>
      <c r="C1837">
        <v>2025</v>
      </c>
      <c r="D1837" s="54">
        <v>45849</v>
      </c>
      <c r="E1837" s="42" t="s">
        <v>249</v>
      </c>
      <c r="F1837" s="76" t="s">
        <v>54</v>
      </c>
      <c r="G1837" s="52">
        <v>-18.8</v>
      </c>
      <c r="H1837" s="32" t="s">
        <v>2720</v>
      </c>
    </row>
    <row r="1838" spans="1:8" ht="18.75">
      <c r="A1838" t="s">
        <v>2721</v>
      </c>
      <c r="B1838">
        <v>7</v>
      </c>
      <c r="C1838">
        <v>2025</v>
      </c>
      <c r="D1838" s="54">
        <v>45849</v>
      </c>
      <c r="E1838" s="42" t="s">
        <v>160</v>
      </c>
      <c r="F1838" s="76" t="s">
        <v>33</v>
      </c>
      <c r="G1838" s="52">
        <v>-443.25</v>
      </c>
      <c r="H1838" s="32" t="s">
        <v>169</v>
      </c>
    </row>
    <row r="1839" spans="1:8" ht="18.75">
      <c r="A1839" t="s">
        <v>2722</v>
      </c>
      <c r="B1839">
        <v>7</v>
      </c>
      <c r="C1839">
        <v>2025</v>
      </c>
      <c r="D1839" s="54">
        <v>45851</v>
      </c>
      <c r="E1839" s="42" t="s">
        <v>249</v>
      </c>
      <c r="F1839" s="76" t="s">
        <v>32</v>
      </c>
      <c r="G1839" s="52">
        <v>-128.59</v>
      </c>
      <c r="H1839" s="32" t="s">
        <v>554</v>
      </c>
    </row>
    <row r="1840" spans="1:8" ht="18.75">
      <c r="A1840" t="s">
        <v>2723</v>
      </c>
      <c r="B1840">
        <v>7</v>
      </c>
      <c r="C1840">
        <v>2025</v>
      </c>
      <c r="D1840" s="54">
        <v>45851</v>
      </c>
      <c r="E1840" s="42" t="s">
        <v>249</v>
      </c>
      <c r="F1840" s="76" t="s">
        <v>59</v>
      </c>
      <c r="G1840" s="52">
        <v>-20.75</v>
      </c>
      <c r="H1840" s="32" t="s">
        <v>2724</v>
      </c>
    </row>
    <row r="1841" spans="1:8" ht="18.75">
      <c r="A1841" t="s">
        <v>2725</v>
      </c>
      <c r="B1841">
        <v>7</v>
      </c>
      <c r="C1841">
        <v>2025</v>
      </c>
      <c r="D1841" s="54">
        <v>45852</v>
      </c>
      <c r="E1841" s="42" t="s">
        <v>249</v>
      </c>
      <c r="F1841" s="76" t="s">
        <v>52</v>
      </c>
      <c r="G1841" s="52">
        <v>-102.6</v>
      </c>
      <c r="H1841" s="32" t="s">
        <v>282</v>
      </c>
    </row>
    <row r="1842" spans="1:8" ht="18.75">
      <c r="A1842" t="s">
        <v>2726</v>
      </c>
      <c r="B1842">
        <v>7</v>
      </c>
      <c r="C1842">
        <v>2025</v>
      </c>
      <c r="D1842" s="54">
        <v>45852</v>
      </c>
      <c r="E1842" s="42" t="s">
        <v>249</v>
      </c>
      <c r="F1842" s="76" t="s">
        <v>57</v>
      </c>
      <c r="G1842" s="52">
        <v>-164.92</v>
      </c>
      <c r="H1842" s="32" t="s">
        <v>282</v>
      </c>
    </row>
    <row r="1843" spans="1:8" ht="18.75">
      <c r="A1843" t="s">
        <v>2727</v>
      </c>
      <c r="B1843">
        <v>7</v>
      </c>
      <c r="C1843">
        <v>2025</v>
      </c>
      <c r="D1843" s="54">
        <v>45853</v>
      </c>
      <c r="E1843" s="42" t="s">
        <v>249</v>
      </c>
      <c r="F1843" s="76" t="s">
        <v>59</v>
      </c>
      <c r="G1843" s="52">
        <v>-101.7</v>
      </c>
      <c r="H1843" s="32" t="s">
        <v>2728</v>
      </c>
    </row>
    <row r="1844" spans="1:8" ht="18.75">
      <c r="A1844" t="s">
        <v>2729</v>
      </c>
      <c r="B1844">
        <v>7</v>
      </c>
      <c r="C1844">
        <v>2025</v>
      </c>
      <c r="D1844" s="54">
        <v>45853</v>
      </c>
      <c r="E1844" s="42" t="s">
        <v>160</v>
      </c>
      <c r="F1844" s="76" t="s">
        <v>51</v>
      </c>
      <c r="G1844" s="52">
        <v>-125.57</v>
      </c>
      <c r="H1844" s="32" t="s">
        <v>210</v>
      </c>
    </row>
    <row r="1845" spans="1:8" ht="18.75">
      <c r="A1845" t="s">
        <v>2730</v>
      </c>
      <c r="B1845">
        <v>7</v>
      </c>
      <c r="C1845">
        <v>2025</v>
      </c>
      <c r="D1845" s="54">
        <v>45853</v>
      </c>
      <c r="E1845" s="42" t="s">
        <v>160</v>
      </c>
      <c r="F1845" s="76" t="s">
        <v>64</v>
      </c>
      <c r="G1845" s="52">
        <v>-302</v>
      </c>
      <c r="H1845" s="32" t="s">
        <v>208</v>
      </c>
    </row>
    <row r="1846" spans="1:8" ht="18.75">
      <c r="A1846" t="s">
        <v>2731</v>
      </c>
      <c r="B1846">
        <v>7</v>
      </c>
      <c r="C1846">
        <v>2025</v>
      </c>
      <c r="D1846" s="54">
        <v>45854</v>
      </c>
      <c r="E1846" s="42" t="s">
        <v>249</v>
      </c>
      <c r="F1846" s="76" t="s">
        <v>39</v>
      </c>
      <c r="G1846" s="52">
        <v>-125.43</v>
      </c>
      <c r="H1846" s="32" t="s">
        <v>2308</v>
      </c>
    </row>
    <row r="1847" spans="1:8" ht="18.75">
      <c r="A1847" t="s">
        <v>2732</v>
      </c>
      <c r="B1847">
        <v>7</v>
      </c>
      <c r="C1847">
        <v>2025</v>
      </c>
      <c r="D1847" s="54">
        <v>45854</v>
      </c>
      <c r="E1847" s="42" t="s">
        <v>160</v>
      </c>
      <c r="F1847" s="76" t="s">
        <v>79</v>
      </c>
      <c r="G1847" s="52">
        <v>2432.08</v>
      </c>
      <c r="H1847" s="32" t="s">
        <v>1655</v>
      </c>
    </row>
    <row r="1848" spans="1:8" ht="18.75">
      <c r="A1848" t="s">
        <v>2733</v>
      </c>
      <c r="B1848">
        <v>7</v>
      </c>
      <c r="C1848">
        <v>2025</v>
      </c>
      <c r="D1848" s="54">
        <v>45855</v>
      </c>
      <c r="E1848" s="42" t="s">
        <v>249</v>
      </c>
      <c r="F1848" s="76" t="s">
        <v>57</v>
      </c>
      <c r="G1848" s="52">
        <v>-86.25</v>
      </c>
      <c r="H1848" s="32" t="s">
        <v>351</v>
      </c>
    </row>
    <row r="1849" spans="1:8" ht="18.75">
      <c r="A1849" t="s">
        <v>2734</v>
      </c>
      <c r="B1849">
        <v>7</v>
      </c>
      <c r="C1849">
        <v>2025</v>
      </c>
      <c r="D1849" s="54">
        <v>45855</v>
      </c>
      <c r="E1849" s="42" t="s">
        <v>249</v>
      </c>
      <c r="F1849" s="76" t="s">
        <v>50</v>
      </c>
      <c r="G1849" s="52">
        <v>-90.9</v>
      </c>
      <c r="H1849" s="32" t="s">
        <v>727</v>
      </c>
    </row>
    <row r="1850" spans="1:8" ht="18.75">
      <c r="A1850" t="s">
        <v>2735</v>
      </c>
      <c r="B1850">
        <v>7</v>
      </c>
      <c r="C1850">
        <v>2025</v>
      </c>
      <c r="D1850" s="54">
        <v>45855</v>
      </c>
      <c r="E1850" s="42" t="s">
        <v>249</v>
      </c>
      <c r="F1850" s="76" t="s">
        <v>43</v>
      </c>
      <c r="G1850" s="52">
        <v>-163.83000000000001</v>
      </c>
      <c r="H1850" s="32" t="s">
        <v>1125</v>
      </c>
    </row>
    <row r="1851" spans="1:8" ht="18.75">
      <c r="A1851" t="s">
        <v>2736</v>
      </c>
      <c r="B1851">
        <v>7</v>
      </c>
      <c r="C1851">
        <v>2025</v>
      </c>
      <c r="D1851" s="54">
        <v>45855</v>
      </c>
      <c r="E1851" s="42" t="s">
        <v>249</v>
      </c>
      <c r="F1851" s="76" t="s">
        <v>52</v>
      </c>
      <c r="G1851" s="52">
        <v>-77.349999999999994</v>
      </c>
      <c r="H1851" s="32" t="s">
        <v>282</v>
      </c>
    </row>
    <row r="1852" spans="1:8" ht="18.75">
      <c r="A1852" t="s">
        <v>2737</v>
      </c>
      <c r="B1852">
        <v>7</v>
      </c>
      <c r="C1852">
        <v>2025</v>
      </c>
      <c r="D1852" s="54">
        <v>45855</v>
      </c>
      <c r="E1852" s="42" t="s">
        <v>160</v>
      </c>
      <c r="F1852" s="76" t="s">
        <v>79</v>
      </c>
      <c r="G1852" s="52">
        <v>1327.81</v>
      </c>
      <c r="H1852" s="32" t="s">
        <v>190</v>
      </c>
    </row>
    <row r="1853" spans="1:8" ht="18.75">
      <c r="A1853" t="s">
        <v>2738</v>
      </c>
      <c r="B1853">
        <v>7</v>
      </c>
      <c r="C1853">
        <v>2025</v>
      </c>
      <c r="D1853" s="54">
        <v>45855</v>
      </c>
      <c r="E1853" s="42" t="s">
        <v>160</v>
      </c>
      <c r="F1853" s="76" t="s">
        <v>60</v>
      </c>
      <c r="G1853" s="52">
        <v>-87</v>
      </c>
      <c r="H1853" s="32" t="s">
        <v>212</v>
      </c>
    </row>
    <row r="1854" spans="1:8" ht="18.75">
      <c r="A1854" t="s">
        <v>2739</v>
      </c>
      <c r="B1854">
        <v>7</v>
      </c>
      <c r="C1854">
        <v>2025</v>
      </c>
      <c r="D1854" s="54">
        <v>45856</v>
      </c>
      <c r="E1854" s="42" t="s">
        <v>249</v>
      </c>
      <c r="F1854" s="76" t="s">
        <v>57</v>
      </c>
      <c r="G1854" s="52">
        <v>-14.92</v>
      </c>
      <c r="H1854" s="32" t="s">
        <v>1263</v>
      </c>
    </row>
    <row r="1855" spans="1:8" ht="18.75">
      <c r="A1855" t="s">
        <v>2740</v>
      </c>
      <c r="B1855">
        <v>7</v>
      </c>
      <c r="C1855">
        <v>2025</v>
      </c>
      <c r="D1855" s="54">
        <v>45856</v>
      </c>
      <c r="E1855" s="42" t="s">
        <v>249</v>
      </c>
      <c r="F1855" s="76" t="s">
        <v>47</v>
      </c>
      <c r="G1855" s="52">
        <v>-49.9</v>
      </c>
      <c r="H1855" s="32" t="s">
        <v>727</v>
      </c>
    </row>
    <row r="1856" spans="1:8" ht="18.75">
      <c r="A1856" t="s">
        <v>2741</v>
      </c>
      <c r="B1856">
        <v>7</v>
      </c>
      <c r="C1856">
        <v>2025</v>
      </c>
      <c r="D1856" s="54">
        <v>45856</v>
      </c>
      <c r="E1856" s="42" t="s">
        <v>249</v>
      </c>
      <c r="F1856" s="76" t="s">
        <v>47</v>
      </c>
      <c r="G1856" s="52">
        <v>-14.95</v>
      </c>
      <c r="H1856" s="32" t="s">
        <v>727</v>
      </c>
    </row>
    <row r="1857" spans="1:9" ht="18.75">
      <c r="A1857" t="s">
        <v>2742</v>
      </c>
      <c r="B1857">
        <v>7</v>
      </c>
      <c r="C1857">
        <v>2025</v>
      </c>
      <c r="D1857" s="54">
        <v>45857</v>
      </c>
      <c r="E1857" s="42" t="s">
        <v>249</v>
      </c>
      <c r="F1857" s="76" t="s">
        <v>54</v>
      </c>
      <c r="G1857" s="52">
        <v>-8.58</v>
      </c>
      <c r="H1857" s="32" t="s">
        <v>1267</v>
      </c>
    </row>
    <row r="1858" spans="1:9" ht="18.75">
      <c r="A1858" t="s">
        <v>2743</v>
      </c>
      <c r="B1858">
        <v>7</v>
      </c>
      <c r="C1858">
        <v>2025</v>
      </c>
      <c r="D1858" s="54">
        <v>45857</v>
      </c>
      <c r="E1858" s="42" t="s">
        <v>249</v>
      </c>
      <c r="F1858" s="76" t="s">
        <v>31</v>
      </c>
      <c r="G1858" s="52">
        <v>-760.82</v>
      </c>
      <c r="H1858" s="32" t="s">
        <v>2744</v>
      </c>
      <c r="I1858" s="32" t="s">
        <v>2745</v>
      </c>
    </row>
    <row r="1859" spans="1:9" ht="18.75">
      <c r="A1859" t="s">
        <v>2746</v>
      </c>
      <c r="B1859">
        <v>7</v>
      </c>
      <c r="C1859">
        <v>2025</v>
      </c>
      <c r="D1859" s="54">
        <v>45859</v>
      </c>
      <c r="E1859" s="42" t="s">
        <v>249</v>
      </c>
      <c r="F1859" s="76" t="s">
        <v>37</v>
      </c>
      <c r="G1859" s="52">
        <v>-82.18</v>
      </c>
      <c r="H1859" s="32" t="s">
        <v>2747</v>
      </c>
    </row>
    <row r="1860" spans="1:9" ht="18.75">
      <c r="A1860" t="s">
        <v>2748</v>
      </c>
      <c r="B1860">
        <v>8</v>
      </c>
      <c r="C1860">
        <v>2025</v>
      </c>
      <c r="D1860" s="54">
        <v>45870</v>
      </c>
      <c r="E1860" s="42" t="s">
        <v>160</v>
      </c>
      <c r="F1860" s="76" t="s">
        <v>49</v>
      </c>
      <c r="G1860" s="52">
        <v>-50</v>
      </c>
      <c r="H1860" s="32" t="s">
        <v>173</v>
      </c>
    </row>
    <row r="1861" spans="1:9" ht="18.75">
      <c r="A1861" t="s">
        <v>2749</v>
      </c>
      <c r="B1861">
        <v>7</v>
      </c>
      <c r="C1861">
        <v>2025</v>
      </c>
      <c r="D1861" s="54">
        <v>45859</v>
      </c>
      <c r="E1861" s="42" t="s">
        <v>160</v>
      </c>
      <c r="F1861" s="76" t="s">
        <v>63</v>
      </c>
      <c r="G1861" s="52">
        <v>-97.14</v>
      </c>
      <c r="H1861" s="32" t="s">
        <v>224</v>
      </c>
    </row>
    <row r="1862" spans="1:9" ht="18.75">
      <c r="A1862" t="s">
        <v>2750</v>
      </c>
      <c r="B1862">
        <v>7</v>
      </c>
      <c r="C1862">
        <v>2025</v>
      </c>
      <c r="D1862" s="54">
        <v>45860</v>
      </c>
      <c r="E1862" s="42" t="s">
        <v>160</v>
      </c>
      <c r="F1862" s="76" t="s">
        <v>43</v>
      </c>
      <c r="G1862" s="52">
        <v>-9.0299999999999994</v>
      </c>
      <c r="H1862" s="32" t="s">
        <v>163</v>
      </c>
    </row>
    <row r="1863" spans="1:9" ht="18.75">
      <c r="A1863" t="s">
        <v>2751</v>
      </c>
      <c r="B1863">
        <v>7</v>
      </c>
      <c r="C1863">
        <v>2025</v>
      </c>
      <c r="D1863" s="54">
        <v>45861</v>
      </c>
      <c r="E1863" s="42" t="s">
        <v>249</v>
      </c>
      <c r="F1863" s="76" t="s">
        <v>41</v>
      </c>
      <c r="G1863" s="52">
        <v>-90.94</v>
      </c>
      <c r="H1863" s="32" t="s">
        <v>2752</v>
      </c>
    </row>
    <row r="1864" spans="1:9" ht="18.75">
      <c r="A1864" t="s">
        <v>2753</v>
      </c>
      <c r="B1864">
        <v>7</v>
      </c>
      <c r="C1864">
        <v>2025</v>
      </c>
      <c r="D1864" s="54">
        <v>45862</v>
      </c>
      <c r="E1864" s="42" t="s">
        <v>249</v>
      </c>
      <c r="F1864" s="76" t="s">
        <v>52</v>
      </c>
      <c r="G1864" s="52">
        <v>-57.59</v>
      </c>
      <c r="H1864" s="32" t="s">
        <v>2754</v>
      </c>
    </row>
    <row r="1865" spans="1:9" ht="18.75">
      <c r="A1865" t="s">
        <v>2755</v>
      </c>
      <c r="B1865">
        <v>7</v>
      </c>
      <c r="C1865">
        <v>2025</v>
      </c>
      <c r="D1865" s="54">
        <v>45862</v>
      </c>
      <c r="E1865" s="42" t="s">
        <v>160</v>
      </c>
      <c r="F1865" s="76" t="s">
        <v>29</v>
      </c>
      <c r="G1865" s="52">
        <v>-221.5</v>
      </c>
      <c r="H1865" s="32" t="s">
        <v>167</v>
      </c>
    </row>
    <row r="1866" spans="1:9" ht="18.75">
      <c r="A1866" t="s">
        <v>2756</v>
      </c>
      <c r="B1866">
        <v>7</v>
      </c>
      <c r="C1866">
        <v>2025</v>
      </c>
      <c r="D1866" s="54">
        <v>45863</v>
      </c>
      <c r="E1866" s="42" t="s">
        <v>249</v>
      </c>
      <c r="F1866" s="76" t="s">
        <v>45</v>
      </c>
      <c r="G1866" s="52">
        <v>-21.46</v>
      </c>
      <c r="H1866" s="32" t="s">
        <v>2633</v>
      </c>
    </row>
    <row r="1867" spans="1:9" ht="18.75">
      <c r="A1867" t="s">
        <v>2757</v>
      </c>
      <c r="B1867">
        <v>7</v>
      </c>
      <c r="C1867">
        <v>2025</v>
      </c>
      <c r="D1867" s="54">
        <v>45863</v>
      </c>
      <c r="E1867" s="42" t="s">
        <v>249</v>
      </c>
      <c r="F1867" s="76" t="s">
        <v>45</v>
      </c>
      <c r="G1867" s="52">
        <v>-36.15</v>
      </c>
      <c r="H1867" s="32" t="s">
        <v>2633</v>
      </c>
    </row>
    <row r="1868" spans="1:9" ht="18.75">
      <c r="A1868" t="s">
        <v>2758</v>
      </c>
      <c r="B1868">
        <v>7</v>
      </c>
      <c r="C1868">
        <v>2025</v>
      </c>
      <c r="D1868" s="54">
        <v>45863</v>
      </c>
      <c r="E1868" s="42" t="s">
        <v>249</v>
      </c>
      <c r="F1868" s="76" t="s">
        <v>45</v>
      </c>
      <c r="G1868" s="52">
        <v>21.46</v>
      </c>
      <c r="H1868" s="32" t="s">
        <v>2633</v>
      </c>
    </row>
    <row r="1869" spans="1:9" ht="18.75">
      <c r="A1869" t="s">
        <v>2759</v>
      </c>
      <c r="B1869">
        <v>7</v>
      </c>
      <c r="C1869">
        <v>2025</v>
      </c>
      <c r="D1869" s="54">
        <v>45863</v>
      </c>
      <c r="E1869" s="42" t="s">
        <v>160</v>
      </c>
      <c r="F1869" s="76" t="s">
        <v>33</v>
      </c>
      <c r="G1869" s="52">
        <v>-443.25</v>
      </c>
      <c r="H1869" s="32" t="s">
        <v>169</v>
      </c>
    </row>
    <row r="1870" spans="1:9" ht="18.75">
      <c r="A1870" t="s">
        <v>2760</v>
      </c>
      <c r="B1870">
        <v>7</v>
      </c>
      <c r="C1870">
        <v>2025</v>
      </c>
      <c r="D1870" s="54">
        <v>45863</v>
      </c>
      <c r="E1870" s="42" t="s">
        <v>160</v>
      </c>
      <c r="F1870" s="76" t="s">
        <v>48</v>
      </c>
      <c r="G1870" s="52">
        <v>-4</v>
      </c>
      <c r="H1870" s="32" t="s">
        <v>228</v>
      </c>
    </row>
    <row r="1871" spans="1:9" ht="18.75">
      <c r="A1871" t="s">
        <v>2761</v>
      </c>
      <c r="B1871">
        <v>7</v>
      </c>
      <c r="C1871">
        <v>2025</v>
      </c>
      <c r="D1871" s="54">
        <v>45863</v>
      </c>
      <c r="E1871" s="42" t="s">
        <v>160</v>
      </c>
      <c r="F1871" s="76" t="s">
        <v>48</v>
      </c>
      <c r="G1871" s="52">
        <v>-10</v>
      </c>
      <c r="H1871" s="32" t="s">
        <v>230</v>
      </c>
    </row>
    <row r="1872" spans="1:9" ht="18.75">
      <c r="A1872" t="s">
        <v>2762</v>
      </c>
      <c r="B1872">
        <v>7</v>
      </c>
      <c r="C1872">
        <v>2025</v>
      </c>
      <c r="D1872" s="54">
        <v>45864</v>
      </c>
      <c r="E1872" s="42" t="s">
        <v>249</v>
      </c>
      <c r="F1872" s="76" t="s">
        <v>47</v>
      </c>
      <c r="G1872" s="52">
        <v>-78.39</v>
      </c>
      <c r="H1872" s="32" t="s">
        <v>308</v>
      </c>
    </row>
    <row r="1873" spans="1:8" ht="18.75">
      <c r="A1873" t="s">
        <v>2763</v>
      </c>
      <c r="B1873">
        <v>7</v>
      </c>
      <c r="C1873">
        <v>2025</v>
      </c>
      <c r="D1873" s="54">
        <v>45864</v>
      </c>
      <c r="E1873" s="42" t="s">
        <v>249</v>
      </c>
      <c r="F1873" s="76" t="s">
        <v>57</v>
      </c>
      <c r="G1873" s="52">
        <v>-161.6</v>
      </c>
      <c r="H1873" s="32" t="s">
        <v>351</v>
      </c>
    </row>
    <row r="1874" spans="1:8" ht="18.75">
      <c r="A1874" t="s">
        <v>2764</v>
      </c>
      <c r="B1874">
        <v>7</v>
      </c>
      <c r="C1874">
        <v>2025</v>
      </c>
      <c r="D1874" s="54">
        <v>45864</v>
      </c>
      <c r="E1874" s="42" t="s">
        <v>249</v>
      </c>
      <c r="F1874" s="76" t="s">
        <v>58</v>
      </c>
      <c r="G1874" s="52">
        <v>-20.059999999999999</v>
      </c>
      <c r="H1874" s="32" t="s">
        <v>308</v>
      </c>
    </row>
    <row r="1875" spans="1:8" ht="18.75">
      <c r="A1875" t="s">
        <v>2765</v>
      </c>
      <c r="B1875">
        <v>7</v>
      </c>
      <c r="C1875">
        <v>2025</v>
      </c>
      <c r="D1875" s="54">
        <v>45864</v>
      </c>
      <c r="E1875" s="42" t="s">
        <v>249</v>
      </c>
      <c r="F1875" s="76" t="s">
        <v>65</v>
      </c>
      <c r="G1875" s="52">
        <v>-15.81</v>
      </c>
      <c r="H1875" s="32" t="s">
        <v>2766</v>
      </c>
    </row>
    <row r="1876" spans="1:8" ht="18.75">
      <c r="A1876" t="s">
        <v>2767</v>
      </c>
      <c r="B1876">
        <v>7</v>
      </c>
      <c r="C1876">
        <v>2025</v>
      </c>
      <c r="D1876" s="54">
        <v>45864</v>
      </c>
      <c r="E1876" s="42" t="s">
        <v>249</v>
      </c>
      <c r="F1876" s="76" t="s">
        <v>47</v>
      </c>
      <c r="G1876" s="52">
        <v>-43.37</v>
      </c>
      <c r="H1876" s="32" t="s">
        <v>1826</v>
      </c>
    </row>
    <row r="1877" spans="1:8" ht="18.75">
      <c r="A1877" t="s">
        <v>2768</v>
      </c>
      <c r="B1877">
        <v>7</v>
      </c>
      <c r="C1877">
        <v>2025</v>
      </c>
      <c r="D1877" s="54">
        <v>45865</v>
      </c>
      <c r="E1877" s="42" t="s">
        <v>249</v>
      </c>
      <c r="F1877" s="76" t="s">
        <v>54</v>
      </c>
      <c r="G1877" s="52">
        <v>-19.16</v>
      </c>
      <c r="H1877" s="32" t="s">
        <v>2769</v>
      </c>
    </row>
    <row r="1878" spans="1:8" ht="18.75">
      <c r="A1878" t="s">
        <v>2770</v>
      </c>
      <c r="B1878">
        <v>7</v>
      </c>
      <c r="C1878">
        <v>2025</v>
      </c>
      <c r="D1878" s="54">
        <v>45865</v>
      </c>
      <c r="E1878" s="42" t="s">
        <v>249</v>
      </c>
      <c r="F1878" s="76" t="s">
        <v>58</v>
      </c>
      <c r="G1878" s="52">
        <v>-367.2</v>
      </c>
      <c r="H1878" s="32" t="s">
        <v>601</v>
      </c>
    </row>
    <row r="1879" spans="1:8" ht="18.75">
      <c r="A1879" t="s">
        <v>2771</v>
      </c>
      <c r="B1879">
        <v>7</v>
      </c>
      <c r="C1879">
        <v>2025</v>
      </c>
      <c r="D1879" s="54">
        <v>45866</v>
      </c>
      <c r="E1879" s="42" t="s">
        <v>249</v>
      </c>
      <c r="F1879" s="76" t="s">
        <v>53</v>
      </c>
      <c r="G1879" s="52">
        <v>-71.2</v>
      </c>
      <c r="H1879" s="32" t="s">
        <v>2772</v>
      </c>
    </row>
    <row r="1880" spans="1:8" ht="18.75">
      <c r="A1880" t="s">
        <v>2773</v>
      </c>
      <c r="B1880">
        <v>7</v>
      </c>
      <c r="C1880">
        <v>2025</v>
      </c>
      <c r="D1880" s="54">
        <v>45866</v>
      </c>
      <c r="E1880" s="42" t="s">
        <v>146</v>
      </c>
      <c r="F1880" s="76" t="s">
        <v>47</v>
      </c>
      <c r="G1880" s="52">
        <v>-60</v>
      </c>
      <c r="H1880" s="32" t="s">
        <v>2774</v>
      </c>
    </row>
    <row r="1881" spans="1:8" ht="18.75">
      <c r="A1881" s="77" t="s">
        <v>2775</v>
      </c>
      <c r="B1881">
        <v>7</v>
      </c>
      <c r="C1881">
        <v>2025</v>
      </c>
      <c r="D1881" s="54">
        <v>45867</v>
      </c>
      <c r="E1881" s="42" t="s">
        <v>249</v>
      </c>
      <c r="F1881" s="76" t="s">
        <v>42</v>
      </c>
      <c r="G1881" s="52">
        <v>-111.87</v>
      </c>
      <c r="H1881" s="32" t="s">
        <v>1294</v>
      </c>
    </row>
    <row r="1882" spans="1:8" ht="18.75">
      <c r="A1882" t="s">
        <v>2776</v>
      </c>
      <c r="B1882">
        <v>7</v>
      </c>
      <c r="C1882">
        <v>2025</v>
      </c>
      <c r="D1882" s="54">
        <v>45867</v>
      </c>
      <c r="E1882" s="42" t="s">
        <v>249</v>
      </c>
      <c r="F1882" s="76" t="s">
        <v>57</v>
      </c>
      <c r="G1882" s="52">
        <v>-24.63</v>
      </c>
      <c r="H1882" s="32" t="s">
        <v>351</v>
      </c>
    </row>
    <row r="1883" spans="1:8" ht="18.75">
      <c r="A1883" t="s">
        <v>2777</v>
      </c>
      <c r="B1883">
        <v>7</v>
      </c>
      <c r="C1883">
        <v>2025</v>
      </c>
      <c r="D1883" s="54">
        <v>45867</v>
      </c>
      <c r="E1883" s="42" t="s">
        <v>249</v>
      </c>
      <c r="F1883" s="76" t="s">
        <v>65</v>
      </c>
      <c r="G1883" s="52">
        <v>-1013.61</v>
      </c>
      <c r="H1883" s="32" t="s">
        <v>258</v>
      </c>
    </row>
    <row r="1884" spans="1:8" ht="18.75">
      <c r="A1884" t="s">
        <v>2778</v>
      </c>
      <c r="B1884">
        <v>7</v>
      </c>
      <c r="C1884">
        <v>2025</v>
      </c>
      <c r="D1884" s="54">
        <v>45868</v>
      </c>
      <c r="E1884" s="42" t="s">
        <v>146</v>
      </c>
      <c r="F1884" s="76" t="s">
        <v>50</v>
      </c>
      <c r="G1884" s="52">
        <v>-101</v>
      </c>
      <c r="H1884" s="32" t="s">
        <v>2779</v>
      </c>
    </row>
    <row r="1885" spans="1:8" ht="18.75">
      <c r="A1885" t="s">
        <v>2780</v>
      </c>
      <c r="B1885">
        <v>7</v>
      </c>
      <c r="C1885">
        <v>2025</v>
      </c>
      <c r="D1885" s="54">
        <v>45868</v>
      </c>
      <c r="E1885" s="42" t="s">
        <v>160</v>
      </c>
      <c r="F1885" s="76" t="s">
        <v>79</v>
      </c>
      <c r="G1885" s="52">
        <v>2420.31</v>
      </c>
      <c r="H1885" s="32" t="s">
        <v>1655</v>
      </c>
    </row>
    <row r="1886" spans="1:8" ht="18.75">
      <c r="A1886" t="s">
        <v>2781</v>
      </c>
      <c r="B1886">
        <v>7</v>
      </c>
      <c r="C1886">
        <v>2025</v>
      </c>
      <c r="D1886" s="54">
        <v>45869</v>
      </c>
      <c r="E1886" s="42" t="s">
        <v>249</v>
      </c>
      <c r="F1886" s="76" t="s">
        <v>57</v>
      </c>
      <c r="G1886" s="52">
        <v>-7.36</v>
      </c>
      <c r="H1886" s="32" t="s">
        <v>351</v>
      </c>
    </row>
    <row r="1887" spans="1:8" ht="18.75">
      <c r="A1887" t="s">
        <v>2782</v>
      </c>
      <c r="B1887">
        <v>7</v>
      </c>
      <c r="C1887">
        <v>2025</v>
      </c>
      <c r="D1887" s="54">
        <v>45869</v>
      </c>
      <c r="E1887" s="42" t="s">
        <v>160</v>
      </c>
      <c r="F1887" s="76" t="s">
        <v>79</v>
      </c>
      <c r="G1887" s="52">
        <v>1401.15</v>
      </c>
      <c r="H1887" s="32" t="s">
        <v>190</v>
      </c>
    </row>
    <row r="1888" spans="1:8" ht="18.75">
      <c r="A1888" t="s">
        <v>2783</v>
      </c>
      <c r="B1888">
        <v>7</v>
      </c>
      <c r="C1888">
        <v>2025</v>
      </c>
      <c r="D1888" s="54">
        <v>45869</v>
      </c>
      <c r="E1888" s="121" t="s">
        <v>249</v>
      </c>
      <c r="F1888" s="76" t="s">
        <v>72</v>
      </c>
      <c r="G1888" s="52">
        <v>-35.86</v>
      </c>
      <c r="H1888" s="32" t="s">
        <v>724</v>
      </c>
    </row>
    <row r="1889" spans="1:8" ht="18.75">
      <c r="A1889" t="s">
        <v>2784</v>
      </c>
      <c r="B1889">
        <v>8</v>
      </c>
      <c r="C1889">
        <v>2025</v>
      </c>
      <c r="D1889" s="54">
        <v>45870</v>
      </c>
      <c r="E1889" s="42" t="s">
        <v>249</v>
      </c>
      <c r="F1889" s="76" t="s">
        <v>48</v>
      </c>
      <c r="G1889" s="52">
        <v>-5.65</v>
      </c>
      <c r="H1889" s="32" t="s">
        <v>1703</v>
      </c>
    </row>
    <row r="1890" spans="1:8" ht="18.75">
      <c r="A1890" t="s">
        <v>2785</v>
      </c>
      <c r="B1890">
        <v>8</v>
      </c>
      <c r="C1890">
        <v>2025</v>
      </c>
      <c r="D1890" s="54">
        <v>45870</v>
      </c>
      <c r="E1890" s="42" t="s">
        <v>146</v>
      </c>
      <c r="F1890" s="76" t="s">
        <v>79</v>
      </c>
      <c r="G1890" s="52">
        <v>2876.12</v>
      </c>
      <c r="H1890" s="32" t="s">
        <v>2786</v>
      </c>
    </row>
    <row r="1891" spans="1:8" ht="18.75">
      <c r="A1891" t="s">
        <v>2787</v>
      </c>
      <c r="B1891">
        <v>8</v>
      </c>
      <c r="C1891">
        <v>2025</v>
      </c>
      <c r="D1891" s="54">
        <v>45873</v>
      </c>
      <c r="E1891" s="121" t="s">
        <v>160</v>
      </c>
      <c r="F1891" s="76" t="s">
        <v>49</v>
      </c>
      <c r="G1891" s="52">
        <v>-50</v>
      </c>
      <c r="H1891" s="32" t="s">
        <v>161</v>
      </c>
    </row>
    <row r="1892" spans="1:8" ht="18.75">
      <c r="A1892" t="s">
        <v>2788</v>
      </c>
      <c r="B1892">
        <v>8</v>
      </c>
      <c r="C1892">
        <v>2025</v>
      </c>
      <c r="D1892" s="54">
        <v>45870</v>
      </c>
      <c r="E1892" s="42" t="s">
        <v>160</v>
      </c>
      <c r="F1892" s="76" t="s">
        <v>40</v>
      </c>
      <c r="G1892" s="52">
        <v>-100</v>
      </c>
      <c r="H1892" s="32" t="s">
        <v>2789</v>
      </c>
    </row>
    <row r="1893" spans="1:8" ht="18.75">
      <c r="A1893" t="s">
        <v>2790</v>
      </c>
      <c r="B1893">
        <v>8</v>
      </c>
      <c r="C1893">
        <v>2025</v>
      </c>
      <c r="D1893" s="54">
        <v>45870</v>
      </c>
      <c r="E1893" s="42" t="s">
        <v>160</v>
      </c>
      <c r="F1893" s="76" t="s">
        <v>40</v>
      </c>
      <c r="G1893" s="52">
        <v>-200</v>
      </c>
      <c r="H1893" s="32" t="s">
        <v>2791</v>
      </c>
    </row>
    <row r="1894" spans="1:8" ht="18.75">
      <c r="A1894" t="s">
        <v>2792</v>
      </c>
      <c r="B1894">
        <v>8</v>
      </c>
      <c r="C1894">
        <v>2025</v>
      </c>
      <c r="D1894" s="54">
        <v>45870</v>
      </c>
      <c r="E1894" s="42" t="s">
        <v>160</v>
      </c>
      <c r="F1894" s="76" t="s">
        <v>79</v>
      </c>
      <c r="G1894" s="52">
        <v>-2876.12</v>
      </c>
      <c r="H1894" s="32" t="s">
        <v>2793</v>
      </c>
    </row>
    <row r="1895" spans="1:8" ht="18.75">
      <c r="A1895" t="s">
        <v>2794</v>
      </c>
      <c r="B1895">
        <v>8</v>
      </c>
      <c r="C1895">
        <v>2025</v>
      </c>
      <c r="D1895" s="54">
        <v>45870</v>
      </c>
      <c r="E1895" s="121" t="s">
        <v>146</v>
      </c>
      <c r="F1895" s="76" t="s">
        <v>48</v>
      </c>
      <c r="G1895" s="52">
        <v>4.38</v>
      </c>
      <c r="H1895" s="32" t="s">
        <v>175</v>
      </c>
    </row>
    <row r="1896" spans="1:8" ht="18.75">
      <c r="A1896" t="s">
        <v>2795</v>
      </c>
      <c r="B1896">
        <v>8</v>
      </c>
      <c r="C1896">
        <v>2025</v>
      </c>
      <c r="D1896" s="54">
        <v>45870</v>
      </c>
      <c r="E1896" s="121" t="s">
        <v>249</v>
      </c>
      <c r="F1896" s="76" t="s">
        <v>54</v>
      </c>
      <c r="G1896" s="52">
        <v>-5.97</v>
      </c>
      <c r="H1896" s="32" t="s">
        <v>2716</v>
      </c>
    </row>
    <row r="1897" spans="1:8" ht="18.75">
      <c r="A1897" t="s">
        <v>2796</v>
      </c>
      <c r="B1897">
        <v>8</v>
      </c>
      <c r="C1897">
        <v>2025</v>
      </c>
      <c r="D1897" s="54">
        <v>45870</v>
      </c>
      <c r="E1897" s="121" t="s">
        <v>249</v>
      </c>
      <c r="F1897" s="76" t="s">
        <v>32</v>
      </c>
      <c r="G1897" s="52">
        <v>-50.75</v>
      </c>
      <c r="H1897" s="32" t="s">
        <v>1572</v>
      </c>
    </row>
    <row r="1898" spans="1:8" ht="18.75">
      <c r="A1898" t="s">
        <v>2797</v>
      </c>
      <c r="B1898">
        <v>8</v>
      </c>
      <c r="C1898">
        <v>2025</v>
      </c>
      <c r="D1898" s="54">
        <v>45870</v>
      </c>
      <c r="E1898" s="121" t="s">
        <v>249</v>
      </c>
      <c r="F1898" s="76" t="s">
        <v>54</v>
      </c>
      <c r="G1898" s="52">
        <v>-20.75</v>
      </c>
      <c r="H1898" s="32" t="s">
        <v>1378</v>
      </c>
    </row>
    <row r="1899" spans="1:8" ht="18.75">
      <c r="A1899" t="s">
        <v>2798</v>
      </c>
      <c r="B1899">
        <v>8</v>
      </c>
      <c r="C1899">
        <v>2025</v>
      </c>
      <c r="D1899" s="54">
        <v>45872</v>
      </c>
      <c r="E1899" s="121" t="s">
        <v>249</v>
      </c>
      <c r="F1899" s="76" t="s">
        <v>54</v>
      </c>
      <c r="G1899" s="52">
        <v>-10.39</v>
      </c>
      <c r="H1899" s="32" t="s">
        <v>2799</v>
      </c>
    </row>
    <row r="1900" spans="1:8" ht="18.75">
      <c r="A1900" t="s">
        <v>2800</v>
      </c>
      <c r="B1900">
        <v>8</v>
      </c>
      <c r="C1900">
        <v>2025</v>
      </c>
      <c r="D1900" s="54">
        <v>45873</v>
      </c>
      <c r="E1900" s="121" t="s">
        <v>160</v>
      </c>
      <c r="F1900" s="76" t="s">
        <v>79</v>
      </c>
      <c r="G1900" s="52">
        <v>2755.82</v>
      </c>
      <c r="H1900" s="32" t="s">
        <v>2801</v>
      </c>
    </row>
    <row r="1901" spans="1:8" ht="18.75">
      <c r="A1901" t="s">
        <v>2802</v>
      </c>
      <c r="B1901">
        <v>8</v>
      </c>
      <c r="C1901">
        <v>2025</v>
      </c>
      <c r="D1901" s="54">
        <v>45887</v>
      </c>
      <c r="E1901" s="121" t="s">
        <v>160</v>
      </c>
      <c r="F1901" s="76" t="s">
        <v>49</v>
      </c>
      <c r="G1901" s="52">
        <v>-50</v>
      </c>
      <c r="H1901" s="32" t="s">
        <v>161</v>
      </c>
    </row>
    <row r="1902" spans="1:8" ht="18.75">
      <c r="A1902" t="s">
        <v>2803</v>
      </c>
      <c r="B1902">
        <v>8</v>
      </c>
      <c r="C1902">
        <v>2025</v>
      </c>
      <c r="D1902" s="54">
        <v>45873</v>
      </c>
      <c r="E1902" s="121" t="s">
        <v>160</v>
      </c>
      <c r="F1902" s="76" t="s">
        <v>40</v>
      </c>
      <c r="G1902" s="52">
        <v>-100</v>
      </c>
      <c r="H1902" s="32" t="s">
        <v>2804</v>
      </c>
    </row>
    <row r="1903" spans="1:8" ht="18.75">
      <c r="A1903" t="s">
        <v>2805</v>
      </c>
      <c r="B1903">
        <v>8</v>
      </c>
      <c r="C1903">
        <v>2025</v>
      </c>
      <c r="D1903" s="54">
        <v>45873</v>
      </c>
      <c r="E1903" s="121" t="s">
        <v>146</v>
      </c>
      <c r="F1903" s="76" t="s">
        <v>79</v>
      </c>
      <c r="G1903" s="52">
        <v>-2755.82</v>
      </c>
      <c r="H1903" s="32" t="s">
        <v>2806</v>
      </c>
    </row>
    <row r="1904" spans="1:8" ht="18.75">
      <c r="A1904" t="s">
        <v>2807</v>
      </c>
      <c r="B1904">
        <v>8</v>
      </c>
      <c r="C1904">
        <v>2025</v>
      </c>
      <c r="D1904" s="54">
        <v>45874</v>
      </c>
      <c r="E1904" s="121" t="s">
        <v>160</v>
      </c>
      <c r="F1904" s="76" t="s">
        <v>43</v>
      </c>
      <c r="G1904" s="52">
        <v>-9.0299999999999994</v>
      </c>
      <c r="H1904" s="32" t="s">
        <v>163</v>
      </c>
    </row>
    <row r="1905" spans="1:8" ht="18.75">
      <c r="A1905" t="s">
        <v>2808</v>
      </c>
      <c r="B1905">
        <v>8</v>
      </c>
      <c r="C1905">
        <v>2025</v>
      </c>
      <c r="D1905" s="54">
        <v>45874</v>
      </c>
      <c r="E1905" s="121" t="s">
        <v>160</v>
      </c>
      <c r="F1905" s="76" t="s">
        <v>30</v>
      </c>
      <c r="G1905" s="52">
        <v>-230.75</v>
      </c>
      <c r="H1905" s="32" t="s">
        <v>196</v>
      </c>
    </row>
    <row r="1906" spans="1:8" ht="18.75">
      <c r="A1906" t="s">
        <v>2809</v>
      </c>
      <c r="B1906">
        <v>8</v>
      </c>
      <c r="C1906">
        <v>2025</v>
      </c>
      <c r="D1906" s="54">
        <v>45874</v>
      </c>
      <c r="E1906" s="121" t="s">
        <v>249</v>
      </c>
      <c r="F1906" s="76" t="s">
        <v>58</v>
      </c>
      <c r="G1906" s="52">
        <v>-19.78</v>
      </c>
      <c r="H1906" s="32" t="s">
        <v>2114</v>
      </c>
    </row>
    <row r="1907" spans="1:8" ht="18.75">
      <c r="A1907" t="s">
        <v>2810</v>
      </c>
      <c r="B1907">
        <v>8</v>
      </c>
      <c r="C1907">
        <v>2025</v>
      </c>
      <c r="D1907" s="54">
        <v>45874</v>
      </c>
      <c r="E1907" s="121" t="s">
        <v>249</v>
      </c>
      <c r="F1907" s="76" t="s">
        <v>55</v>
      </c>
      <c r="G1907" s="52">
        <v>-332.15</v>
      </c>
      <c r="H1907" s="32" t="s">
        <v>356</v>
      </c>
    </row>
    <row r="1908" spans="1:8" ht="18.75">
      <c r="A1908" t="s">
        <v>2811</v>
      </c>
      <c r="B1908">
        <v>8</v>
      </c>
      <c r="C1908">
        <v>2025</v>
      </c>
      <c r="D1908" s="54">
        <v>45874</v>
      </c>
      <c r="E1908" s="121" t="s">
        <v>249</v>
      </c>
      <c r="F1908" s="76" t="s">
        <v>58</v>
      </c>
      <c r="G1908" s="52">
        <v>-95.81</v>
      </c>
      <c r="H1908" s="32" t="s">
        <v>282</v>
      </c>
    </row>
    <row r="1909" spans="1:8" ht="18.75">
      <c r="A1909" t="s">
        <v>2812</v>
      </c>
      <c r="B1909">
        <v>8</v>
      </c>
      <c r="C1909">
        <v>2025</v>
      </c>
      <c r="D1909" s="54">
        <v>45874</v>
      </c>
      <c r="E1909" s="121" t="s">
        <v>249</v>
      </c>
      <c r="F1909" s="76" t="s">
        <v>57</v>
      </c>
      <c r="G1909" s="52">
        <v>-45.73</v>
      </c>
      <c r="H1909" s="32" t="s">
        <v>282</v>
      </c>
    </row>
    <row r="1910" spans="1:8" ht="18.75">
      <c r="A1910" t="s">
        <v>2813</v>
      </c>
      <c r="B1910">
        <v>8</v>
      </c>
      <c r="C1910">
        <v>2025</v>
      </c>
      <c r="D1910" s="54">
        <v>45874</v>
      </c>
      <c r="E1910" s="121" t="s">
        <v>249</v>
      </c>
      <c r="F1910" s="76" t="s">
        <v>58</v>
      </c>
      <c r="G1910" s="52">
        <v>-83.45</v>
      </c>
      <c r="H1910" s="32" t="s">
        <v>2814</v>
      </c>
    </row>
    <row r="1911" spans="1:8" ht="18.75">
      <c r="A1911" t="s">
        <v>2815</v>
      </c>
      <c r="B1911">
        <v>8</v>
      </c>
      <c r="C1911">
        <v>2025</v>
      </c>
      <c r="D1911" s="54">
        <v>45875</v>
      </c>
      <c r="E1911" s="121" t="s">
        <v>249</v>
      </c>
      <c r="F1911" s="76" t="s">
        <v>65</v>
      </c>
      <c r="G1911" s="52">
        <v>-21.68</v>
      </c>
      <c r="H1911" s="32" t="s">
        <v>2816</v>
      </c>
    </row>
    <row r="1912" spans="1:8" ht="18.75">
      <c r="A1912" t="s">
        <v>2817</v>
      </c>
      <c r="B1912">
        <v>8</v>
      </c>
      <c r="C1912">
        <v>2025</v>
      </c>
      <c r="D1912" s="54">
        <v>45876</v>
      </c>
      <c r="E1912" s="121" t="s">
        <v>249</v>
      </c>
      <c r="F1912" s="76" t="s">
        <v>57</v>
      </c>
      <c r="G1912" s="52">
        <v>-87.6</v>
      </c>
      <c r="H1912" s="32" t="s">
        <v>351</v>
      </c>
    </row>
    <row r="1913" spans="1:8" ht="18.75">
      <c r="A1913" t="s">
        <v>2818</v>
      </c>
      <c r="B1913">
        <v>8</v>
      </c>
      <c r="C1913">
        <v>2025</v>
      </c>
      <c r="D1913" s="54">
        <v>45876</v>
      </c>
      <c r="E1913" s="121" t="s">
        <v>249</v>
      </c>
      <c r="F1913" s="76" t="s">
        <v>50</v>
      </c>
      <c r="G1913" s="52">
        <v>-70.95</v>
      </c>
      <c r="H1913" s="32" t="s">
        <v>727</v>
      </c>
    </row>
    <row r="1914" spans="1:8" ht="18.75">
      <c r="A1914" t="s">
        <v>2819</v>
      </c>
      <c r="B1914">
        <v>8</v>
      </c>
      <c r="C1914">
        <v>2025</v>
      </c>
      <c r="D1914" s="54">
        <v>45876</v>
      </c>
      <c r="E1914" s="121" t="s">
        <v>249</v>
      </c>
      <c r="F1914" s="76" t="s">
        <v>53</v>
      </c>
      <c r="G1914" s="52">
        <v>-74.58</v>
      </c>
      <c r="H1914" s="32" t="s">
        <v>2820</v>
      </c>
    </row>
    <row r="1915" spans="1:8" ht="18.75">
      <c r="A1915" t="s">
        <v>2821</v>
      </c>
      <c r="B1915">
        <v>8</v>
      </c>
      <c r="C1915">
        <v>2025</v>
      </c>
      <c r="D1915" s="54">
        <v>45876</v>
      </c>
      <c r="E1915" s="121" t="s">
        <v>249</v>
      </c>
      <c r="F1915" s="76" t="s">
        <v>42</v>
      </c>
      <c r="G1915" s="52">
        <v>-25.98</v>
      </c>
      <c r="H1915" s="32" t="s">
        <v>1833</v>
      </c>
    </row>
    <row r="1916" spans="1:8" ht="18.75">
      <c r="A1916" t="s">
        <v>2822</v>
      </c>
      <c r="B1916">
        <v>8</v>
      </c>
      <c r="C1916">
        <v>2025</v>
      </c>
      <c r="D1916" s="54">
        <v>45877</v>
      </c>
      <c r="E1916" s="121" t="s">
        <v>160</v>
      </c>
      <c r="F1916" s="76" t="s">
        <v>51</v>
      </c>
      <c r="G1916" s="52">
        <v>-125.87</v>
      </c>
      <c r="H1916" s="32" t="s">
        <v>199</v>
      </c>
    </row>
    <row r="1917" spans="1:8" ht="18.75">
      <c r="A1917" t="s">
        <v>2823</v>
      </c>
      <c r="B1917">
        <v>8</v>
      </c>
      <c r="C1917">
        <v>2025</v>
      </c>
      <c r="D1917" s="54">
        <v>45877</v>
      </c>
      <c r="E1917" s="121" t="s">
        <v>160</v>
      </c>
      <c r="F1917" s="76" t="s">
        <v>33</v>
      </c>
      <c r="G1917" s="52">
        <v>-443.25</v>
      </c>
      <c r="H1917" s="32" t="s">
        <v>169</v>
      </c>
    </row>
    <row r="1918" spans="1:8" ht="18.75">
      <c r="A1918" t="s">
        <v>2824</v>
      </c>
      <c r="B1918">
        <v>8</v>
      </c>
      <c r="C1918">
        <v>2025</v>
      </c>
      <c r="D1918" s="54">
        <v>45877</v>
      </c>
      <c r="E1918" s="121" t="s">
        <v>160</v>
      </c>
      <c r="F1918" s="76" t="s">
        <v>36</v>
      </c>
      <c r="G1918" s="52">
        <v>-77.459999999999994</v>
      </c>
      <c r="H1918" s="32" t="s">
        <v>2825</v>
      </c>
    </row>
    <row r="1919" spans="1:8" ht="18.75">
      <c r="A1919" t="s">
        <v>2826</v>
      </c>
      <c r="B1919">
        <v>8</v>
      </c>
      <c r="C1919">
        <v>2025</v>
      </c>
      <c r="D1919" s="54">
        <v>45877</v>
      </c>
      <c r="E1919" s="121" t="s">
        <v>249</v>
      </c>
      <c r="F1919" s="76" t="s">
        <v>57</v>
      </c>
      <c r="G1919" s="52">
        <v>-1.99</v>
      </c>
      <c r="H1919" s="32" t="s">
        <v>2827</v>
      </c>
    </row>
    <row r="1920" spans="1:8" ht="18.75">
      <c r="A1920" t="s">
        <v>2828</v>
      </c>
      <c r="B1920">
        <v>8</v>
      </c>
      <c r="C1920">
        <v>2025</v>
      </c>
      <c r="D1920" s="54">
        <v>45877</v>
      </c>
      <c r="E1920" s="121" t="s">
        <v>249</v>
      </c>
      <c r="F1920" s="76" t="s">
        <v>32</v>
      </c>
      <c r="G1920" s="52">
        <v>-46.02</v>
      </c>
      <c r="H1920" s="32" t="s">
        <v>2829</v>
      </c>
    </row>
    <row r="1921" spans="1:8" ht="18.75">
      <c r="A1921" t="s">
        <v>2830</v>
      </c>
      <c r="B1921">
        <v>8</v>
      </c>
      <c r="C1921">
        <v>2025</v>
      </c>
      <c r="D1921" s="54">
        <v>45877</v>
      </c>
      <c r="E1921" s="121" t="s">
        <v>249</v>
      </c>
      <c r="F1921" s="76" t="s">
        <v>54</v>
      </c>
      <c r="G1921" s="52">
        <v>-24.8</v>
      </c>
      <c r="H1921" s="32" t="s">
        <v>2168</v>
      </c>
    </row>
    <row r="1922" spans="1:8" ht="18.75">
      <c r="A1922" t="s">
        <v>2831</v>
      </c>
      <c r="B1922">
        <v>8</v>
      </c>
      <c r="C1922">
        <v>2025</v>
      </c>
      <c r="D1922" s="54">
        <v>45877</v>
      </c>
      <c r="E1922" s="121" t="s">
        <v>249</v>
      </c>
      <c r="F1922" s="76" t="s">
        <v>50</v>
      </c>
      <c r="G1922" s="52">
        <v>-33.549999999999997</v>
      </c>
      <c r="H1922" s="32" t="s">
        <v>2832</v>
      </c>
    </row>
    <row r="1923" spans="1:8" ht="18.75">
      <c r="A1923" t="s">
        <v>2833</v>
      </c>
      <c r="B1923">
        <v>8</v>
      </c>
      <c r="C1923">
        <v>2025</v>
      </c>
      <c r="D1923" s="54">
        <v>45878</v>
      </c>
      <c r="E1923" s="121" t="s">
        <v>249</v>
      </c>
      <c r="F1923" s="76" t="s">
        <v>52</v>
      </c>
      <c r="G1923" s="52">
        <v>-21.85</v>
      </c>
      <c r="H1923" s="32" t="s">
        <v>2834</v>
      </c>
    </row>
    <row r="1924" spans="1:8" ht="18.75">
      <c r="A1924" t="s">
        <v>2835</v>
      </c>
      <c r="B1924">
        <v>8</v>
      </c>
      <c r="C1924">
        <v>2025</v>
      </c>
      <c r="D1924" s="54">
        <v>45879</v>
      </c>
      <c r="E1924" s="121" t="s">
        <v>249</v>
      </c>
      <c r="F1924" s="76" t="s">
        <v>54</v>
      </c>
      <c r="G1924" s="52">
        <v>-3.35</v>
      </c>
      <c r="H1924" s="32" t="s">
        <v>2836</v>
      </c>
    </row>
    <row r="1925" spans="1:8" ht="18.75">
      <c r="A1925" t="s">
        <v>2837</v>
      </c>
      <c r="B1925">
        <v>8</v>
      </c>
      <c r="C1925">
        <v>2025</v>
      </c>
      <c r="D1925" s="54">
        <v>45880</v>
      </c>
      <c r="E1925" s="121" t="s">
        <v>249</v>
      </c>
      <c r="F1925" s="76" t="s">
        <v>31</v>
      </c>
      <c r="G1925" s="52">
        <v>-38.26</v>
      </c>
      <c r="H1925" s="32" t="s">
        <v>2838</v>
      </c>
    </row>
    <row r="1926" spans="1:8" ht="18.75">
      <c r="A1926" t="s">
        <v>2839</v>
      </c>
      <c r="B1926">
        <v>8</v>
      </c>
      <c r="C1926">
        <v>2025</v>
      </c>
      <c r="D1926" s="54">
        <v>45880</v>
      </c>
      <c r="E1926" s="121" t="s">
        <v>249</v>
      </c>
      <c r="F1926" s="76" t="s">
        <v>57</v>
      </c>
      <c r="G1926" s="52">
        <v>-20.68</v>
      </c>
      <c r="H1926" s="32" t="s">
        <v>1826</v>
      </c>
    </row>
    <row r="1927" spans="1:8" ht="18.75">
      <c r="A1927" t="s">
        <v>2840</v>
      </c>
      <c r="B1927">
        <v>8</v>
      </c>
      <c r="C1927">
        <v>2025</v>
      </c>
      <c r="D1927" s="54">
        <v>45880</v>
      </c>
      <c r="E1927" s="121" t="s">
        <v>249</v>
      </c>
      <c r="F1927" s="76" t="s">
        <v>58</v>
      </c>
      <c r="G1927" s="52">
        <v>-34.909999999999997</v>
      </c>
      <c r="H1927" s="32" t="s">
        <v>2841</v>
      </c>
    </row>
    <row r="1928" spans="1:8" ht="18.75">
      <c r="A1928" t="s">
        <v>2842</v>
      </c>
      <c r="B1928">
        <v>8</v>
      </c>
      <c r="C1928">
        <v>2025</v>
      </c>
      <c r="D1928" s="54">
        <v>45880</v>
      </c>
      <c r="E1928" s="121" t="s">
        <v>249</v>
      </c>
      <c r="F1928" s="76" t="s">
        <v>58</v>
      </c>
      <c r="G1928" s="52">
        <v>-73.44</v>
      </c>
      <c r="H1928" s="32" t="s">
        <v>1970</v>
      </c>
    </row>
    <row r="1929" spans="1:8" ht="18.75">
      <c r="A1929" t="s">
        <v>2843</v>
      </c>
      <c r="B1929">
        <v>8</v>
      </c>
      <c r="C1929">
        <v>2025</v>
      </c>
      <c r="D1929" s="54">
        <v>45880</v>
      </c>
      <c r="E1929" s="121" t="s">
        <v>249</v>
      </c>
      <c r="F1929" s="76" t="s">
        <v>52</v>
      </c>
      <c r="G1929" s="52">
        <f>-85.79+G1930*-1</f>
        <v>-30.790000000000006</v>
      </c>
      <c r="H1929" s="32" t="s">
        <v>282</v>
      </c>
    </row>
    <row r="1930" spans="1:8" ht="18.75">
      <c r="B1930">
        <v>8</v>
      </c>
      <c r="C1930">
        <v>2025</v>
      </c>
      <c r="D1930" s="54">
        <v>45880</v>
      </c>
      <c r="E1930" s="121" t="s">
        <v>249</v>
      </c>
      <c r="F1930" s="76" t="s">
        <v>55</v>
      </c>
      <c r="G1930" s="52">
        <v>-55</v>
      </c>
      <c r="H1930" s="32" t="s">
        <v>282</v>
      </c>
    </row>
    <row r="1931" spans="1:8" ht="18.75">
      <c r="A1931" t="s">
        <v>2844</v>
      </c>
      <c r="B1931">
        <v>8</v>
      </c>
      <c r="C1931">
        <v>2025</v>
      </c>
      <c r="D1931" s="54">
        <v>45881</v>
      </c>
      <c r="E1931" s="121" t="s">
        <v>249</v>
      </c>
      <c r="F1931" s="76" t="s">
        <v>56</v>
      </c>
      <c r="G1931" s="52">
        <v>-82.47</v>
      </c>
      <c r="H1931" s="32" t="s">
        <v>2475</v>
      </c>
    </row>
    <row r="1932" spans="1:8" ht="18.75">
      <c r="A1932" t="s">
        <v>2845</v>
      </c>
      <c r="B1932">
        <v>8</v>
      </c>
      <c r="C1932">
        <v>2025</v>
      </c>
      <c r="D1932" s="54">
        <v>45881</v>
      </c>
      <c r="E1932" s="121" t="s">
        <v>249</v>
      </c>
      <c r="F1932" s="76" t="s">
        <v>56</v>
      </c>
      <c r="G1932" s="52">
        <v>-15.13</v>
      </c>
      <c r="H1932" s="32" t="s">
        <v>2846</v>
      </c>
    </row>
    <row r="1933" spans="1:8" ht="18.75">
      <c r="A1933" t="s">
        <v>2847</v>
      </c>
      <c r="B1933">
        <v>8</v>
      </c>
      <c r="C1933">
        <v>2025</v>
      </c>
      <c r="D1933" s="54">
        <v>45881</v>
      </c>
      <c r="E1933" s="121" t="s">
        <v>249</v>
      </c>
      <c r="F1933" s="76" t="s">
        <v>55</v>
      </c>
      <c r="G1933" s="52">
        <v>-79.05</v>
      </c>
      <c r="H1933" s="32" t="s">
        <v>282</v>
      </c>
    </row>
    <row r="1934" spans="1:8" ht="18.75">
      <c r="A1934" t="s">
        <v>2848</v>
      </c>
      <c r="B1934">
        <v>8</v>
      </c>
      <c r="C1934">
        <v>2025</v>
      </c>
      <c r="D1934" s="54">
        <v>45882</v>
      </c>
      <c r="E1934" s="121" t="s">
        <v>160</v>
      </c>
      <c r="F1934" s="76" t="s">
        <v>79</v>
      </c>
      <c r="G1934" s="52">
        <v>2389.89</v>
      </c>
      <c r="H1934" s="32" t="s">
        <v>1655</v>
      </c>
    </row>
    <row r="1935" spans="1:8" ht="18.75">
      <c r="A1935" t="s">
        <v>2849</v>
      </c>
      <c r="B1935">
        <v>8</v>
      </c>
      <c r="C1935">
        <v>2025</v>
      </c>
      <c r="D1935" s="54">
        <v>45882</v>
      </c>
      <c r="E1935" s="121" t="s">
        <v>146</v>
      </c>
      <c r="F1935" s="76" t="s">
        <v>31</v>
      </c>
      <c r="G1935" s="52">
        <v>-205.71</v>
      </c>
      <c r="H1935" s="32" t="s">
        <v>334</v>
      </c>
    </row>
    <row r="1936" spans="1:8" ht="18.75">
      <c r="A1936" t="s">
        <v>2850</v>
      </c>
      <c r="B1936">
        <v>8</v>
      </c>
      <c r="C1936">
        <v>2025</v>
      </c>
      <c r="D1936" s="54">
        <v>45882</v>
      </c>
      <c r="E1936" s="121" t="s">
        <v>146</v>
      </c>
      <c r="F1936" s="76" t="s">
        <v>47</v>
      </c>
      <c r="G1936" s="52">
        <v>-30</v>
      </c>
      <c r="H1936" s="32" t="s">
        <v>2851</v>
      </c>
    </row>
    <row r="1937" spans="1:8" ht="18.75">
      <c r="A1937" t="s">
        <v>2852</v>
      </c>
      <c r="B1937">
        <v>8</v>
      </c>
      <c r="C1937">
        <v>2025</v>
      </c>
      <c r="D1937" s="54">
        <v>45882</v>
      </c>
      <c r="E1937" s="121" t="s">
        <v>146</v>
      </c>
      <c r="F1937" s="76" t="s">
        <v>48</v>
      </c>
      <c r="G1937" s="52">
        <v>-1</v>
      </c>
      <c r="H1937" s="32" t="s">
        <v>1952</v>
      </c>
    </row>
    <row r="1938" spans="1:8" ht="18.75">
      <c r="A1938" t="s">
        <v>2853</v>
      </c>
      <c r="B1938">
        <v>8</v>
      </c>
      <c r="C1938">
        <v>2025</v>
      </c>
      <c r="D1938" s="54">
        <v>45882</v>
      </c>
      <c r="E1938" s="121" t="s">
        <v>146</v>
      </c>
      <c r="F1938" s="76" t="s">
        <v>48</v>
      </c>
      <c r="G1938" s="52">
        <v>-5</v>
      </c>
      <c r="H1938" s="32" t="s">
        <v>2854</v>
      </c>
    </row>
    <row r="1939" spans="1:8" ht="18.75">
      <c r="A1939" t="s">
        <v>2855</v>
      </c>
      <c r="B1939">
        <v>8</v>
      </c>
      <c r="C1939">
        <v>2025</v>
      </c>
      <c r="D1939" s="54">
        <v>45882</v>
      </c>
      <c r="E1939" s="121" t="s">
        <v>249</v>
      </c>
      <c r="F1939" s="76" t="s">
        <v>31</v>
      </c>
      <c r="G1939" s="52">
        <v>-41.12</v>
      </c>
      <c r="H1939" s="32" t="s">
        <v>2856</v>
      </c>
    </row>
    <row r="1940" spans="1:8" ht="18.75">
      <c r="A1940" t="s">
        <v>2857</v>
      </c>
      <c r="B1940">
        <v>8</v>
      </c>
      <c r="C1940">
        <v>2025</v>
      </c>
      <c r="D1940" s="54">
        <v>45883</v>
      </c>
      <c r="E1940" s="121" t="s">
        <v>160</v>
      </c>
      <c r="F1940" s="76" t="s">
        <v>79</v>
      </c>
      <c r="G1940" s="52">
        <v>1327.81</v>
      </c>
      <c r="H1940" s="32" t="s">
        <v>190</v>
      </c>
    </row>
    <row r="1941" spans="1:8" ht="18.75">
      <c r="A1941" t="s">
        <v>2858</v>
      </c>
      <c r="B1941">
        <v>8</v>
      </c>
      <c r="C1941">
        <v>2025</v>
      </c>
      <c r="D1941" s="54">
        <v>45883</v>
      </c>
      <c r="E1941" s="121" t="s">
        <v>249</v>
      </c>
      <c r="F1941" s="76" t="s">
        <v>35</v>
      </c>
      <c r="G1941" s="52">
        <v>12.2</v>
      </c>
      <c r="H1941" s="32" t="s">
        <v>285</v>
      </c>
    </row>
    <row r="1942" spans="1:8" ht="18.75">
      <c r="A1942" t="s">
        <v>2859</v>
      </c>
      <c r="B1942">
        <v>8</v>
      </c>
      <c r="C1942">
        <v>2025</v>
      </c>
      <c r="D1942" s="54">
        <v>45883</v>
      </c>
      <c r="E1942" s="121" t="s">
        <v>249</v>
      </c>
      <c r="F1942" s="76" t="s">
        <v>32</v>
      </c>
      <c r="G1942" s="52">
        <v>-51.99</v>
      </c>
      <c r="H1942" s="32" t="s">
        <v>1572</v>
      </c>
    </row>
    <row r="1943" spans="1:8" ht="18.75">
      <c r="A1943" t="s">
        <v>2860</v>
      </c>
      <c r="B1943">
        <v>8</v>
      </c>
      <c r="C1943">
        <v>2025</v>
      </c>
      <c r="D1943" s="54">
        <v>45884</v>
      </c>
      <c r="E1943" s="121" t="s">
        <v>160</v>
      </c>
      <c r="F1943" s="76" t="s">
        <v>51</v>
      </c>
      <c r="G1943" s="52">
        <v>-125.57</v>
      </c>
      <c r="H1943" s="32" t="s">
        <v>210</v>
      </c>
    </row>
    <row r="1944" spans="1:8" ht="18.75">
      <c r="A1944" t="s">
        <v>2861</v>
      </c>
      <c r="B1944">
        <v>8</v>
      </c>
      <c r="C1944">
        <v>2025</v>
      </c>
      <c r="D1944" s="54">
        <v>45884</v>
      </c>
      <c r="E1944" s="121" t="s">
        <v>160</v>
      </c>
      <c r="F1944" s="76" t="s">
        <v>64</v>
      </c>
      <c r="G1944" s="52">
        <v>-302</v>
      </c>
      <c r="H1944" s="32" t="s">
        <v>208</v>
      </c>
    </row>
    <row r="1945" spans="1:8" ht="18.75">
      <c r="A1945" t="s">
        <v>2862</v>
      </c>
      <c r="B1945">
        <v>8</v>
      </c>
      <c r="C1945">
        <v>2025</v>
      </c>
      <c r="D1945" s="54">
        <v>45884</v>
      </c>
      <c r="E1945" s="121" t="s">
        <v>249</v>
      </c>
      <c r="F1945" s="76" t="s">
        <v>54</v>
      </c>
      <c r="G1945" s="52">
        <v>-24.3</v>
      </c>
      <c r="H1945" s="32" t="s">
        <v>2863</v>
      </c>
    </row>
    <row r="1946" spans="1:8" ht="18.75">
      <c r="A1946" t="s">
        <v>2864</v>
      </c>
      <c r="B1946">
        <v>8</v>
      </c>
      <c r="C1946">
        <v>2025</v>
      </c>
      <c r="D1946" s="54">
        <v>45885</v>
      </c>
      <c r="E1946" s="121" t="s">
        <v>249</v>
      </c>
      <c r="F1946" s="76" t="s">
        <v>39</v>
      </c>
      <c r="G1946" s="52">
        <v>-125.43</v>
      </c>
      <c r="H1946" s="32" t="s">
        <v>2308</v>
      </c>
    </row>
    <row r="1947" spans="1:8" ht="18.75">
      <c r="A1947" t="s">
        <v>2865</v>
      </c>
      <c r="B1947">
        <v>8</v>
      </c>
      <c r="C1947">
        <v>2025</v>
      </c>
      <c r="D1947" s="54">
        <v>45885</v>
      </c>
      <c r="E1947" s="121" t="s">
        <v>249</v>
      </c>
      <c r="F1947" s="76" t="s">
        <v>32</v>
      </c>
      <c r="G1947" s="52">
        <v>-63.1</v>
      </c>
      <c r="H1947" s="32" t="s">
        <v>554</v>
      </c>
    </row>
    <row r="1948" spans="1:8" ht="18.75">
      <c r="A1948" t="s">
        <v>2866</v>
      </c>
      <c r="B1948">
        <v>8</v>
      </c>
      <c r="C1948">
        <v>2025</v>
      </c>
      <c r="D1948" s="54">
        <v>45885</v>
      </c>
      <c r="E1948" s="121" t="s">
        <v>249</v>
      </c>
      <c r="F1948" s="76" t="s">
        <v>65</v>
      </c>
      <c r="G1948" s="52">
        <v>-39.54</v>
      </c>
      <c r="H1948" s="32" t="s">
        <v>601</v>
      </c>
    </row>
    <row r="1949" spans="1:8" ht="18.75">
      <c r="A1949" t="s">
        <v>2867</v>
      </c>
      <c r="B1949">
        <v>8</v>
      </c>
      <c r="C1949">
        <v>2025</v>
      </c>
      <c r="D1949" s="54">
        <v>45885</v>
      </c>
      <c r="E1949" s="121" t="s">
        <v>249</v>
      </c>
      <c r="F1949" s="76" t="s">
        <v>54</v>
      </c>
      <c r="G1949" s="52">
        <v>-13.53</v>
      </c>
      <c r="H1949" s="32" t="s">
        <v>2868</v>
      </c>
    </row>
    <row r="1950" spans="1:8" ht="18.75">
      <c r="A1950" t="s">
        <v>2869</v>
      </c>
      <c r="B1950">
        <v>8</v>
      </c>
      <c r="C1950">
        <v>2025</v>
      </c>
      <c r="D1950" s="54">
        <v>45885</v>
      </c>
      <c r="E1950" s="121" t="s">
        <v>249</v>
      </c>
      <c r="F1950" s="76" t="s">
        <v>57</v>
      </c>
      <c r="G1950" s="52">
        <v>-27.43</v>
      </c>
      <c r="H1950" s="32" t="s">
        <v>2870</v>
      </c>
    </row>
    <row r="1951" spans="1:8" ht="18.75">
      <c r="A1951" t="s">
        <v>2871</v>
      </c>
      <c r="B1951">
        <v>8</v>
      </c>
      <c r="C1951">
        <v>2025</v>
      </c>
      <c r="D1951" s="54">
        <v>45886</v>
      </c>
      <c r="E1951" s="121" t="s">
        <v>249</v>
      </c>
      <c r="F1951" s="76" t="s">
        <v>57</v>
      </c>
      <c r="G1951" s="52">
        <v>-252.16</v>
      </c>
      <c r="H1951" s="32" t="s">
        <v>2872</v>
      </c>
    </row>
    <row r="1952" spans="1:8" ht="18.75">
      <c r="A1952" t="s">
        <v>2873</v>
      </c>
      <c r="B1952">
        <v>8</v>
      </c>
      <c r="C1952">
        <v>2025</v>
      </c>
      <c r="D1952" s="54">
        <v>45886</v>
      </c>
      <c r="E1952" s="121" t="s">
        <v>249</v>
      </c>
      <c r="F1952" s="76" t="s">
        <v>32</v>
      </c>
      <c r="G1952" s="52">
        <v>-121.4</v>
      </c>
      <c r="H1952" s="32" t="s">
        <v>2874</v>
      </c>
    </row>
    <row r="1953" spans="1:8" ht="18.75">
      <c r="A1953" t="s">
        <v>2875</v>
      </c>
      <c r="B1953">
        <v>9</v>
      </c>
      <c r="C1953">
        <v>2025</v>
      </c>
      <c r="D1953" s="54">
        <v>45902</v>
      </c>
      <c r="E1953" s="121" t="s">
        <v>160</v>
      </c>
      <c r="F1953" s="76" t="s">
        <v>49</v>
      </c>
      <c r="G1953" s="52">
        <v>-50</v>
      </c>
      <c r="H1953" s="32" t="s">
        <v>173</v>
      </c>
    </row>
    <row r="1954" spans="1:8" ht="18.75">
      <c r="A1954" t="s">
        <v>2876</v>
      </c>
      <c r="B1954">
        <v>8</v>
      </c>
      <c r="C1954">
        <v>2025</v>
      </c>
      <c r="D1954" s="54">
        <v>45887</v>
      </c>
      <c r="E1954" s="121" t="s">
        <v>160</v>
      </c>
      <c r="F1954" s="76" t="s">
        <v>60</v>
      </c>
      <c r="G1954" s="52">
        <v>-107.77</v>
      </c>
      <c r="H1954" s="32" t="s">
        <v>212</v>
      </c>
    </row>
    <row r="1955" spans="1:8" ht="18.75">
      <c r="A1955" t="s">
        <v>2877</v>
      </c>
      <c r="B1955">
        <v>8</v>
      </c>
      <c r="C1955">
        <v>2025</v>
      </c>
      <c r="D1955" s="54">
        <v>45887</v>
      </c>
      <c r="E1955" s="121" t="s">
        <v>249</v>
      </c>
      <c r="F1955" s="76" t="s">
        <v>79</v>
      </c>
      <c r="G1955" s="52">
        <v>3418.81</v>
      </c>
      <c r="H1955" s="32" t="s">
        <v>1755</v>
      </c>
    </row>
    <row r="1956" spans="1:8" ht="18.75">
      <c r="A1956" t="s">
        <v>2878</v>
      </c>
      <c r="B1956">
        <v>8</v>
      </c>
      <c r="C1956">
        <v>2025</v>
      </c>
      <c r="D1956" s="54">
        <v>45887</v>
      </c>
      <c r="E1956" s="121" t="s">
        <v>249</v>
      </c>
      <c r="F1956" s="76" t="s">
        <v>31</v>
      </c>
      <c r="G1956" s="52">
        <v>-226</v>
      </c>
      <c r="H1956" s="32" t="s">
        <v>2879</v>
      </c>
    </row>
    <row r="1957" spans="1:8" ht="18.75">
      <c r="A1957" t="s">
        <v>2880</v>
      </c>
      <c r="B1957">
        <v>8</v>
      </c>
      <c r="C1957">
        <v>2025</v>
      </c>
      <c r="D1957" s="54">
        <v>45888</v>
      </c>
      <c r="E1957" s="121" t="s">
        <v>160</v>
      </c>
      <c r="F1957" s="76" t="s">
        <v>79</v>
      </c>
      <c r="G1957" s="52">
        <v>-3418.81</v>
      </c>
      <c r="H1957" s="32" t="s">
        <v>214</v>
      </c>
    </row>
    <row r="1958" spans="1:8" ht="18.75">
      <c r="A1958" t="s">
        <v>2881</v>
      </c>
      <c r="B1958">
        <v>8</v>
      </c>
      <c r="C1958">
        <v>2025</v>
      </c>
      <c r="D1958" s="54">
        <v>45888</v>
      </c>
      <c r="E1958" s="121" t="s">
        <v>160</v>
      </c>
      <c r="F1958" s="76" t="s">
        <v>43</v>
      </c>
      <c r="G1958" s="52">
        <v>-9.0299999999999994</v>
      </c>
      <c r="H1958" s="32" t="s">
        <v>163</v>
      </c>
    </row>
    <row r="1959" spans="1:8" ht="18.75">
      <c r="A1959" t="s">
        <v>2882</v>
      </c>
      <c r="B1959">
        <v>8</v>
      </c>
      <c r="C1959">
        <v>2025</v>
      </c>
      <c r="D1959" s="54">
        <v>45888</v>
      </c>
      <c r="E1959" s="121" t="s">
        <v>249</v>
      </c>
      <c r="F1959" s="76" t="s">
        <v>31</v>
      </c>
      <c r="G1959" s="52">
        <v>-213.57</v>
      </c>
      <c r="H1959" s="32" t="s">
        <v>2856</v>
      </c>
    </row>
    <row r="1960" spans="1:8" ht="18.75">
      <c r="A1960" t="s">
        <v>2883</v>
      </c>
      <c r="B1960">
        <v>8</v>
      </c>
      <c r="C1960">
        <v>2025</v>
      </c>
      <c r="D1960" s="54">
        <v>45888</v>
      </c>
      <c r="E1960" s="121" t="s">
        <v>249</v>
      </c>
      <c r="F1960" s="76" t="s">
        <v>31</v>
      </c>
      <c r="G1960" s="52">
        <v>-85.99</v>
      </c>
      <c r="H1960" s="32" t="s">
        <v>2884</v>
      </c>
    </row>
    <row r="1961" spans="1:8" ht="18.75">
      <c r="A1961" t="s">
        <v>2885</v>
      </c>
      <c r="B1961">
        <v>8</v>
      </c>
      <c r="C1961">
        <v>2025</v>
      </c>
      <c r="D1961" s="54">
        <v>45889</v>
      </c>
      <c r="E1961" s="121" t="s">
        <v>249</v>
      </c>
      <c r="F1961" s="76" t="s">
        <v>31</v>
      </c>
      <c r="G1961" s="52">
        <v>-30.25</v>
      </c>
      <c r="H1961" s="32" t="s">
        <v>2886</v>
      </c>
    </row>
    <row r="1962" spans="1:8" ht="18.75">
      <c r="A1962" t="s">
        <v>2887</v>
      </c>
      <c r="B1962">
        <v>8</v>
      </c>
      <c r="C1962">
        <v>2025</v>
      </c>
      <c r="D1962" s="54">
        <v>45889</v>
      </c>
      <c r="E1962" s="121" t="s">
        <v>249</v>
      </c>
      <c r="F1962" s="76" t="s">
        <v>31</v>
      </c>
      <c r="G1962" s="52">
        <v>-32.86</v>
      </c>
      <c r="H1962" s="32" t="s">
        <v>2888</v>
      </c>
    </row>
    <row r="1963" spans="1:8" ht="18.75">
      <c r="A1963" t="s">
        <v>2889</v>
      </c>
      <c r="B1963">
        <v>8</v>
      </c>
      <c r="C1963">
        <v>2025</v>
      </c>
      <c r="D1963" s="54">
        <v>45889</v>
      </c>
      <c r="E1963" s="121" t="s">
        <v>249</v>
      </c>
      <c r="F1963" s="76" t="s">
        <v>31</v>
      </c>
      <c r="G1963" s="52">
        <v>-22.29</v>
      </c>
      <c r="H1963" s="32" t="s">
        <v>2890</v>
      </c>
    </row>
    <row r="1964" spans="1:8" ht="18.75">
      <c r="A1964" t="s">
        <v>2891</v>
      </c>
      <c r="B1964">
        <v>8</v>
      </c>
      <c r="C1964">
        <v>2025</v>
      </c>
      <c r="D1964" s="54">
        <v>45891</v>
      </c>
      <c r="E1964" s="121" t="s">
        <v>160</v>
      </c>
      <c r="F1964" s="76" t="s">
        <v>63</v>
      </c>
      <c r="G1964" s="52">
        <v>-97.95</v>
      </c>
      <c r="H1964" s="32" t="s">
        <v>224</v>
      </c>
    </row>
    <row r="1965" spans="1:8" ht="18.75">
      <c r="A1965" t="s">
        <v>2892</v>
      </c>
      <c r="B1965">
        <v>8</v>
      </c>
      <c r="C1965">
        <v>2025</v>
      </c>
      <c r="D1965" s="54">
        <v>45891</v>
      </c>
      <c r="E1965" s="121" t="s">
        <v>160</v>
      </c>
      <c r="F1965" s="76" t="s">
        <v>33</v>
      </c>
      <c r="G1965" s="52">
        <v>-443.25</v>
      </c>
      <c r="H1965" s="32" t="s">
        <v>169</v>
      </c>
    </row>
    <row r="1966" spans="1:8" ht="18.75">
      <c r="A1966" t="s">
        <v>2893</v>
      </c>
      <c r="B1966">
        <v>8</v>
      </c>
      <c r="C1966">
        <v>2025</v>
      </c>
      <c r="D1966" s="54">
        <v>45891</v>
      </c>
      <c r="E1966" s="121" t="s">
        <v>249</v>
      </c>
      <c r="F1966" s="76" t="s">
        <v>31</v>
      </c>
      <c r="G1966" s="52">
        <v>-13.8</v>
      </c>
      <c r="H1966" s="32" t="s">
        <v>2894</v>
      </c>
    </row>
    <row r="1967" spans="1:8" ht="18.75">
      <c r="A1967" t="s">
        <v>2895</v>
      </c>
      <c r="B1967">
        <v>8</v>
      </c>
      <c r="C1967">
        <v>2025</v>
      </c>
      <c r="D1967" s="54">
        <v>45891</v>
      </c>
      <c r="E1967" s="121" t="s">
        <v>249</v>
      </c>
      <c r="F1967" s="76" t="s">
        <v>32</v>
      </c>
      <c r="G1967" s="52">
        <v>-101.62</v>
      </c>
      <c r="H1967" s="32" t="s">
        <v>2896</v>
      </c>
    </row>
    <row r="1968" spans="1:8" ht="18.75">
      <c r="A1968" t="s">
        <v>2897</v>
      </c>
      <c r="B1968">
        <v>8</v>
      </c>
      <c r="C1968">
        <v>2025</v>
      </c>
      <c r="D1968" s="54">
        <v>45891</v>
      </c>
      <c r="E1968" s="121" t="s">
        <v>249</v>
      </c>
      <c r="F1968" s="76" t="s">
        <v>31</v>
      </c>
      <c r="G1968" s="52">
        <v>-3.39</v>
      </c>
      <c r="H1968" s="32" t="s">
        <v>2898</v>
      </c>
    </row>
    <row r="1969" spans="1:8" ht="18.75">
      <c r="A1969" t="s">
        <v>2899</v>
      </c>
      <c r="B1969">
        <v>8</v>
      </c>
      <c r="C1969">
        <v>2025</v>
      </c>
      <c r="D1969" s="54">
        <v>45891</v>
      </c>
      <c r="E1969" s="121" t="s">
        <v>249</v>
      </c>
      <c r="F1969" s="76" t="s">
        <v>57</v>
      </c>
      <c r="G1969" s="52">
        <v>-175.29</v>
      </c>
      <c r="H1969" s="32" t="s">
        <v>2894</v>
      </c>
    </row>
    <row r="1970" spans="1:8" ht="18.75">
      <c r="A1970" t="s">
        <v>2900</v>
      </c>
      <c r="B1970">
        <v>8</v>
      </c>
      <c r="C1970">
        <v>2025</v>
      </c>
      <c r="D1970" s="54">
        <v>45894</v>
      </c>
      <c r="E1970" s="121" t="s">
        <v>160</v>
      </c>
      <c r="F1970" s="76" t="s">
        <v>29</v>
      </c>
      <c r="G1970" s="52">
        <v>-221.5</v>
      </c>
      <c r="H1970" s="32" t="s">
        <v>167</v>
      </c>
    </row>
    <row r="1971" spans="1:8" ht="18.75">
      <c r="A1971" t="s">
        <v>2901</v>
      </c>
      <c r="B1971">
        <v>8</v>
      </c>
      <c r="C1971">
        <v>2025</v>
      </c>
      <c r="D1971" s="54">
        <v>45894</v>
      </c>
      <c r="E1971" s="121" t="s">
        <v>160</v>
      </c>
      <c r="F1971" s="76" t="s">
        <v>48</v>
      </c>
      <c r="G1971" s="52">
        <v>-4</v>
      </c>
      <c r="H1971" s="32" t="s">
        <v>228</v>
      </c>
    </row>
    <row r="1972" spans="1:8" ht="18.75">
      <c r="A1972" s="77" t="s">
        <v>2902</v>
      </c>
      <c r="B1972">
        <v>8</v>
      </c>
      <c r="C1972">
        <v>2025</v>
      </c>
      <c r="D1972" s="54">
        <v>45894</v>
      </c>
      <c r="E1972" s="121" t="s">
        <v>160</v>
      </c>
      <c r="F1972" s="76" t="s">
        <v>48</v>
      </c>
      <c r="G1972" s="52">
        <v>-2.5</v>
      </c>
      <c r="H1972" s="32" t="s">
        <v>2903</v>
      </c>
    </row>
    <row r="1973" spans="1:8" ht="18.75">
      <c r="A1973" t="s">
        <v>2904</v>
      </c>
      <c r="B1973">
        <v>8</v>
      </c>
      <c r="C1973">
        <v>2025</v>
      </c>
      <c r="D1973" s="54">
        <v>45894</v>
      </c>
      <c r="E1973" s="121" t="s">
        <v>249</v>
      </c>
      <c r="F1973" s="76" t="s">
        <v>31</v>
      </c>
      <c r="G1973" s="52">
        <v>-10.5</v>
      </c>
      <c r="H1973" s="32" t="s">
        <v>2905</v>
      </c>
    </row>
    <row r="1974" spans="1:8" ht="18.75">
      <c r="A1974" t="s">
        <v>2906</v>
      </c>
      <c r="B1974">
        <v>8</v>
      </c>
      <c r="C1974">
        <v>2025</v>
      </c>
      <c r="D1974" s="54">
        <v>45895</v>
      </c>
      <c r="E1974" s="121" t="s">
        <v>249</v>
      </c>
      <c r="F1974" s="76" t="s">
        <v>35</v>
      </c>
      <c r="G1974" s="52">
        <v>-125.11</v>
      </c>
      <c r="H1974" s="32" t="s">
        <v>2907</v>
      </c>
    </row>
    <row r="1975" spans="1:8" ht="18.75">
      <c r="A1975" t="s">
        <v>2908</v>
      </c>
      <c r="B1975">
        <v>8</v>
      </c>
      <c r="C1975">
        <v>2025</v>
      </c>
      <c r="D1975" s="54">
        <v>45896</v>
      </c>
      <c r="E1975" s="121" t="s">
        <v>160</v>
      </c>
      <c r="F1975" s="76" t="s">
        <v>79</v>
      </c>
      <c r="G1975" s="52">
        <v>2420.31</v>
      </c>
      <c r="H1975" s="32" t="s">
        <v>1655</v>
      </c>
    </row>
    <row r="1976" spans="1:8" ht="18.75">
      <c r="A1976" t="s">
        <v>2909</v>
      </c>
      <c r="B1976">
        <v>8</v>
      </c>
      <c r="C1976">
        <v>2025</v>
      </c>
      <c r="D1976" s="54">
        <v>45897</v>
      </c>
      <c r="E1976" s="121" t="s">
        <v>160</v>
      </c>
      <c r="F1976" s="76" t="s">
        <v>79</v>
      </c>
      <c r="G1976" s="52">
        <v>1327.81</v>
      </c>
      <c r="H1976" s="32" t="s">
        <v>190</v>
      </c>
    </row>
    <row r="1977" spans="1:8" ht="18.75">
      <c r="A1977" t="s">
        <v>2910</v>
      </c>
      <c r="B1977">
        <v>8</v>
      </c>
      <c r="C1977">
        <v>2025</v>
      </c>
      <c r="D1977" s="54">
        <v>45898</v>
      </c>
      <c r="E1977" s="121" t="s">
        <v>249</v>
      </c>
      <c r="F1977" s="76" t="s">
        <v>31</v>
      </c>
      <c r="G1977" s="52">
        <v>-42.27</v>
      </c>
      <c r="H1977" s="32" t="s">
        <v>2911</v>
      </c>
    </row>
    <row r="1978" spans="1:8" ht="18.75">
      <c r="A1978" t="s">
        <v>2912</v>
      </c>
      <c r="B1978">
        <v>8</v>
      </c>
      <c r="C1978">
        <v>2025</v>
      </c>
      <c r="D1978" s="54">
        <v>45898</v>
      </c>
      <c r="E1978" s="121" t="s">
        <v>249</v>
      </c>
      <c r="F1978" s="76" t="s">
        <v>32</v>
      </c>
      <c r="G1978" s="52">
        <v>-117.86</v>
      </c>
      <c r="H1978" s="32" t="s">
        <v>2911</v>
      </c>
    </row>
    <row r="1979" spans="1:8" ht="18.75">
      <c r="A1979" t="s">
        <v>2913</v>
      </c>
      <c r="B1979">
        <v>8</v>
      </c>
      <c r="C1979">
        <v>2025</v>
      </c>
      <c r="D1979" s="54">
        <v>45898</v>
      </c>
      <c r="E1979" s="121" t="s">
        <v>249</v>
      </c>
      <c r="F1979" s="76" t="s">
        <v>31</v>
      </c>
      <c r="G1979" s="52">
        <v>-39.5</v>
      </c>
      <c r="H1979" s="32" t="s">
        <v>2905</v>
      </c>
    </row>
    <row r="1980" spans="1:8" ht="18.75">
      <c r="A1980" t="s">
        <v>2914</v>
      </c>
      <c r="B1980">
        <v>8</v>
      </c>
      <c r="C1980">
        <v>2025</v>
      </c>
      <c r="D1980" s="54">
        <v>45899</v>
      </c>
      <c r="E1980" s="121" t="s">
        <v>249</v>
      </c>
      <c r="F1980" s="76" t="s">
        <v>31</v>
      </c>
      <c r="G1980" s="52">
        <v>-15</v>
      </c>
      <c r="H1980" s="32" t="s">
        <v>2915</v>
      </c>
    </row>
    <row r="1981" spans="1:8" ht="18.75">
      <c r="A1981" t="s">
        <v>2916</v>
      </c>
      <c r="B1981">
        <v>8</v>
      </c>
      <c r="C1981">
        <v>2025</v>
      </c>
      <c r="D1981" s="54">
        <v>45899</v>
      </c>
      <c r="E1981" s="121" t="s">
        <v>249</v>
      </c>
      <c r="F1981" s="76" t="s">
        <v>31</v>
      </c>
      <c r="G1981" s="52">
        <v>-27</v>
      </c>
      <c r="H1981" s="32" t="s">
        <v>2911</v>
      </c>
    </row>
    <row r="1982" spans="1:8" ht="18.75">
      <c r="A1982" t="s">
        <v>2917</v>
      </c>
      <c r="B1982">
        <v>8</v>
      </c>
      <c r="C1982">
        <v>2025</v>
      </c>
      <c r="D1982" s="54">
        <v>45899</v>
      </c>
      <c r="E1982" s="121" t="s">
        <v>249</v>
      </c>
      <c r="F1982" s="76" t="s">
        <v>31</v>
      </c>
      <c r="G1982" s="52">
        <v>171.78</v>
      </c>
      <c r="H1982" s="32" t="s">
        <v>2918</v>
      </c>
    </row>
    <row r="1983" spans="1:8" ht="18.75">
      <c r="A1983" t="s">
        <v>2919</v>
      </c>
      <c r="B1983">
        <v>9</v>
      </c>
      <c r="C1983">
        <v>2025</v>
      </c>
      <c r="D1983" s="54">
        <v>45901</v>
      </c>
      <c r="E1983" s="121" t="s">
        <v>249</v>
      </c>
      <c r="F1983" s="76" t="s">
        <v>41</v>
      </c>
      <c r="G1983" s="52">
        <v>-66.11</v>
      </c>
      <c r="H1983" s="32" t="s">
        <v>1275</v>
      </c>
    </row>
    <row r="1984" spans="1:8" ht="18.75">
      <c r="A1984" t="s">
        <v>2920</v>
      </c>
      <c r="B1984">
        <v>9</v>
      </c>
      <c r="C1984">
        <v>2025</v>
      </c>
      <c r="D1984" s="54">
        <v>45901</v>
      </c>
      <c r="E1984" s="121" t="s">
        <v>249</v>
      </c>
      <c r="F1984" s="76" t="s">
        <v>32</v>
      </c>
      <c r="G1984" s="52">
        <v>-132</v>
      </c>
      <c r="H1984" s="32" t="s">
        <v>554</v>
      </c>
    </row>
    <row r="1985" spans="1:8" ht="18.75">
      <c r="A1985" t="s">
        <v>2921</v>
      </c>
      <c r="B1985">
        <v>9</v>
      </c>
      <c r="C1985">
        <v>2025</v>
      </c>
      <c r="D1985" s="54">
        <v>45901</v>
      </c>
      <c r="E1985" s="121" t="s">
        <v>249</v>
      </c>
      <c r="F1985" s="76" t="s">
        <v>31</v>
      </c>
      <c r="G1985" s="52">
        <v>-15</v>
      </c>
      <c r="H1985" s="32" t="s">
        <v>2922</v>
      </c>
    </row>
    <row r="1986" spans="1:8" ht="18.75">
      <c r="A1986" t="s">
        <v>2923</v>
      </c>
      <c r="B1986">
        <v>9</v>
      </c>
      <c r="C1986">
        <v>2025</v>
      </c>
      <c r="D1986" s="54">
        <v>45901</v>
      </c>
      <c r="E1986" s="121" t="s">
        <v>249</v>
      </c>
      <c r="F1986" s="76" t="s">
        <v>54</v>
      </c>
      <c r="G1986" s="52">
        <v>-17.82</v>
      </c>
      <c r="H1986" s="32" t="s">
        <v>2868</v>
      </c>
    </row>
    <row r="1987" spans="1:8" ht="18.75">
      <c r="A1987" t="s">
        <v>2924</v>
      </c>
      <c r="B1987">
        <v>9</v>
      </c>
      <c r="C1987">
        <v>2025</v>
      </c>
      <c r="D1987" s="54">
        <v>45902</v>
      </c>
      <c r="E1987" s="121" t="s">
        <v>160</v>
      </c>
      <c r="F1987" s="76" t="s">
        <v>49</v>
      </c>
      <c r="G1987" s="52">
        <v>-50</v>
      </c>
      <c r="H1987" s="32" t="s">
        <v>161</v>
      </c>
    </row>
    <row r="1988" spans="1:8" ht="18.75">
      <c r="A1988" t="s">
        <v>2925</v>
      </c>
      <c r="B1988">
        <v>9</v>
      </c>
      <c r="C1988">
        <v>2025</v>
      </c>
      <c r="D1988" s="54">
        <v>45902</v>
      </c>
      <c r="E1988" s="121" t="s">
        <v>160</v>
      </c>
      <c r="F1988" s="76" t="s">
        <v>43</v>
      </c>
      <c r="G1988" s="52">
        <v>-9.0299999999999994</v>
      </c>
      <c r="H1988" s="32" t="s">
        <v>163</v>
      </c>
    </row>
    <row r="1989" spans="1:8" ht="18.75">
      <c r="A1989" t="s">
        <v>2926</v>
      </c>
      <c r="B1989">
        <v>9</v>
      </c>
      <c r="C1989">
        <v>2025</v>
      </c>
      <c r="D1989" s="54">
        <v>45915</v>
      </c>
      <c r="E1989" s="121" t="s">
        <v>160</v>
      </c>
      <c r="F1989" s="76" t="s">
        <v>49</v>
      </c>
      <c r="G1989" s="52">
        <v>-50</v>
      </c>
      <c r="H1989" s="32" t="s">
        <v>161</v>
      </c>
    </row>
    <row r="1990" spans="1:8" ht="18.75">
      <c r="A1990" t="s">
        <v>2927</v>
      </c>
      <c r="B1990">
        <v>9</v>
      </c>
      <c r="C1990">
        <v>2025</v>
      </c>
      <c r="D1990" s="54">
        <v>45902</v>
      </c>
      <c r="E1990" s="121" t="s">
        <v>160</v>
      </c>
      <c r="F1990" s="76" t="s">
        <v>40</v>
      </c>
      <c r="G1990" s="52">
        <v>-100</v>
      </c>
      <c r="H1990" s="32" t="s">
        <v>2928</v>
      </c>
    </row>
    <row r="1991" spans="1:8" ht="18.75">
      <c r="A1991" t="s">
        <v>2929</v>
      </c>
      <c r="B1991">
        <v>9</v>
      </c>
      <c r="C1991">
        <v>2025</v>
      </c>
      <c r="D1991" s="54">
        <v>45902</v>
      </c>
      <c r="E1991" s="121" t="s">
        <v>160</v>
      </c>
      <c r="F1991" s="76" t="s">
        <v>40</v>
      </c>
      <c r="G1991" s="52">
        <v>-200</v>
      </c>
      <c r="H1991" s="32" t="s">
        <v>2930</v>
      </c>
    </row>
    <row r="1992" spans="1:8" ht="18.75">
      <c r="A1992" t="s">
        <v>2931</v>
      </c>
      <c r="B1992">
        <v>9</v>
      </c>
      <c r="C1992">
        <v>2025</v>
      </c>
      <c r="D1992" s="54">
        <v>45902</v>
      </c>
      <c r="E1992" s="121" t="s">
        <v>160</v>
      </c>
      <c r="F1992" s="76" t="s">
        <v>79</v>
      </c>
      <c r="G1992" s="52">
        <v>-2876.12</v>
      </c>
      <c r="H1992" s="32" t="s">
        <v>2932</v>
      </c>
    </row>
    <row r="1993" spans="1:8" ht="18.75">
      <c r="A1993" t="s">
        <v>2933</v>
      </c>
      <c r="B1993">
        <v>9</v>
      </c>
      <c r="C1993">
        <v>2025</v>
      </c>
      <c r="D1993" s="54">
        <v>45902</v>
      </c>
      <c r="E1993" s="121" t="s">
        <v>146</v>
      </c>
      <c r="F1993" s="76" t="s">
        <v>79</v>
      </c>
      <c r="G1993" s="52">
        <v>2876.12</v>
      </c>
      <c r="H1993" s="32" t="s">
        <v>2934</v>
      </c>
    </row>
    <row r="1994" spans="1:8" ht="18.75">
      <c r="A1994" t="s">
        <v>2935</v>
      </c>
      <c r="B1994">
        <v>9</v>
      </c>
      <c r="C1994">
        <v>2025</v>
      </c>
      <c r="D1994" s="54">
        <v>45902</v>
      </c>
      <c r="E1994" s="121" t="s">
        <v>146</v>
      </c>
      <c r="F1994" s="76" t="s">
        <v>48</v>
      </c>
      <c r="G1994" s="52">
        <v>4.29</v>
      </c>
      <c r="H1994" s="32" t="s">
        <v>175</v>
      </c>
    </row>
    <row r="1995" spans="1:8" ht="18.75">
      <c r="A1995" t="s">
        <v>2936</v>
      </c>
      <c r="B1995">
        <v>9</v>
      </c>
      <c r="C1995">
        <v>2025</v>
      </c>
      <c r="D1995" s="54">
        <v>45902</v>
      </c>
      <c r="E1995" s="121" t="s">
        <v>249</v>
      </c>
      <c r="F1995" s="76" t="s">
        <v>59</v>
      </c>
      <c r="G1995" s="52">
        <v>-11.65</v>
      </c>
      <c r="H1995" s="32" t="s">
        <v>359</v>
      </c>
    </row>
    <row r="1996" spans="1:8" ht="18.75">
      <c r="A1996" t="s">
        <v>2937</v>
      </c>
      <c r="B1996">
        <v>9</v>
      </c>
      <c r="C1996">
        <v>2025</v>
      </c>
      <c r="D1996" s="54">
        <v>45902</v>
      </c>
      <c r="E1996" s="121" t="s">
        <v>249</v>
      </c>
      <c r="F1996" s="76" t="s">
        <v>57</v>
      </c>
      <c r="G1996" s="52">
        <v>-50.51</v>
      </c>
      <c r="H1996" s="32" t="s">
        <v>1235</v>
      </c>
    </row>
    <row r="1997" spans="1:8" ht="18.75">
      <c r="A1997" t="s">
        <v>2938</v>
      </c>
      <c r="B1997">
        <v>9</v>
      </c>
      <c r="C1997">
        <v>2025</v>
      </c>
      <c r="D1997" s="54">
        <v>45903</v>
      </c>
      <c r="E1997" s="121" t="s">
        <v>249</v>
      </c>
      <c r="F1997" s="76" t="s">
        <v>58</v>
      </c>
      <c r="G1997" s="52">
        <v>-56.49</v>
      </c>
      <c r="H1997" s="32" t="s">
        <v>2939</v>
      </c>
    </row>
    <row r="1998" spans="1:8" ht="18.75">
      <c r="A1998" t="s">
        <v>2940</v>
      </c>
      <c r="B1998">
        <v>9</v>
      </c>
      <c r="C1998">
        <v>2025</v>
      </c>
      <c r="D1998" s="54">
        <v>45903</v>
      </c>
      <c r="E1998" s="121" t="s">
        <v>249</v>
      </c>
      <c r="F1998" s="76" t="s">
        <v>65</v>
      </c>
      <c r="G1998" s="52">
        <v>-225.99</v>
      </c>
      <c r="H1998" s="32" t="s">
        <v>2941</v>
      </c>
    </row>
    <row r="1999" spans="1:8" ht="18.75">
      <c r="A1999" t="s">
        <v>2942</v>
      </c>
      <c r="B1999">
        <v>9</v>
      </c>
      <c r="C1999">
        <v>2025</v>
      </c>
      <c r="D1999" s="54">
        <v>45903</v>
      </c>
      <c r="E1999" s="121" t="s">
        <v>249</v>
      </c>
      <c r="F1999" s="76" t="s">
        <v>57</v>
      </c>
      <c r="G1999" s="52">
        <v>-10.3</v>
      </c>
      <c r="H1999" s="32" t="s">
        <v>1172</v>
      </c>
    </row>
    <row r="2000" spans="1:8" ht="18.75">
      <c r="A2000" t="s">
        <v>2943</v>
      </c>
      <c r="B2000">
        <v>9</v>
      </c>
      <c r="C2000">
        <v>2025</v>
      </c>
      <c r="D2000" s="54">
        <v>45904</v>
      </c>
      <c r="E2000" s="121" t="s">
        <v>160</v>
      </c>
      <c r="F2000" s="76" t="s">
        <v>40</v>
      </c>
      <c r="G2000" s="52">
        <v>-100</v>
      </c>
      <c r="H2000" s="32" t="s">
        <v>2944</v>
      </c>
    </row>
    <row r="2001" spans="1:9" ht="18.75">
      <c r="A2001" t="s">
        <v>2945</v>
      </c>
      <c r="B2001">
        <v>9</v>
      </c>
      <c r="C2001">
        <v>2025</v>
      </c>
      <c r="D2001" s="54">
        <v>45904</v>
      </c>
      <c r="E2001" s="121" t="s">
        <v>146</v>
      </c>
      <c r="F2001" s="76" t="s">
        <v>53</v>
      </c>
      <c r="G2001" s="52">
        <v>100</v>
      </c>
      <c r="H2001" s="32" t="s">
        <v>2946</v>
      </c>
    </row>
    <row r="2002" spans="1:9" ht="18.75">
      <c r="A2002" t="s">
        <v>2947</v>
      </c>
      <c r="B2002">
        <v>9</v>
      </c>
      <c r="C2002">
        <v>2025</v>
      </c>
      <c r="D2002" s="54">
        <v>45904</v>
      </c>
      <c r="E2002" s="121" t="s">
        <v>249</v>
      </c>
      <c r="F2002" s="76" t="s">
        <v>58</v>
      </c>
      <c r="G2002" s="52">
        <v>14.01</v>
      </c>
      <c r="H2002" s="32" t="s">
        <v>402</v>
      </c>
    </row>
    <row r="2003" spans="1:9" ht="18.75">
      <c r="A2003" t="s">
        <v>2948</v>
      </c>
      <c r="B2003">
        <v>9</v>
      </c>
      <c r="C2003">
        <v>2025</v>
      </c>
      <c r="D2003" s="54">
        <v>45904</v>
      </c>
      <c r="E2003" s="121" t="s">
        <v>249</v>
      </c>
      <c r="F2003" s="76" t="s">
        <v>58</v>
      </c>
      <c r="G2003" s="52">
        <v>-14.01</v>
      </c>
      <c r="H2003" s="32" t="s">
        <v>2949</v>
      </c>
    </row>
    <row r="2004" spans="1:9" ht="18.75">
      <c r="A2004" t="s">
        <v>2950</v>
      </c>
      <c r="B2004">
        <v>9</v>
      </c>
      <c r="C2004">
        <v>2025</v>
      </c>
      <c r="D2004" s="54">
        <v>45905</v>
      </c>
      <c r="E2004" s="121" t="s">
        <v>160</v>
      </c>
      <c r="F2004" s="76" t="s">
        <v>30</v>
      </c>
      <c r="G2004" s="52">
        <v>-230.75</v>
      </c>
      <c r="H2004" s="32" t="s">
        <v>196</v>
      </c>
    </row>
    <row r="2005" spans="1:9" ht="18.75">
      <c r="A2005" t="s">
        <v>2951</v>
      </c>
      <c r="B2005">
        <v>9</v>
      </c>
      <c r="C2005">
        <v>2025</v>
      </c>
      <c r="D2005" s="54">
        <v>45905</v>
      </c>
      <c r="E2005" s="121" t="s">
        <v>160</v>
      </c>
      <c r="F2005" s="76" t="s">
        <v>33</v>
      </c>
      <c r="G2005" s="52">
        <v>-443.25</v>
      </c>
      <c r="H2005" s="32" t="s">
        <v>169</v>
      </c>
    </row>
    <row r="2006" spans="1:9" ht="18.75">
      <c r="A2006" t="s">
        <v>2952</v>
      </c>
      <c r="B2006">
        <v>9</v>
      </c>
      <c r="C2006">
        <v>2025</v>
      </c>
      <c r="D2006" s="54">
        <v>45905</v>
      </c>
      <c r="E2006" s="121" t="s">
        <v>249</v>
      </c>
      <c r="F2006" s="76" t="s">
        <v>58</v>
      </c>
      <c r="G2006" s="52">
        <v>-27.11</v>
      </c>
      <c r="H2006" s="32" t="s">
        <v>2953</v>
      </c>
    </row>
    <row r="2007" spans="1:9" ht="18.75">
      <c r="A2007" t="s">
        <v>2954</v>
      </c>
      <c r="B2007">
        <v>9</v>
      </c>
      <c r="C2007">
        <v>2025</v>
      </c>
      <c r="D2007" s="54">
        <v>45905</v>
      </c>
      <c r="E2007" s="121" t="s">
        <v>249</v>
      </c>
      <c r="F2007" s="76" t="s">
        <v>55</v>
      </c>
      <c r="G2007" s="52">
        <v>-39.53</v>
      </c>
      <c r="H2007" s="32" t="s">
        <v>282</v>
      </c>
    </row>
    <row r="2008" spans="1:9" ht="18.75">
      <c r="A2008" t="s">
        <v>2955</v>
      </c>
      <c r="B2008">
        <v>9</v>
      </c>
      <c r="C2008">
        <v>2025</v>
      </c>
      <c r="D2008" s="54">
        <v>45907</v>
      </c>
      <c r="E2008" s="121" t="s">
        <v>249</v>
      </c>
      <c r="F2008" s="76" t="s">
        <v>42</v>
      </c>
      <c r="G2008" s="52">
        <v>-25.98</v>
      </c>
      <c r="H2008" s="32" t="s">
        <v>1833</v>
      </c>
    </row>
    <row r="2009" spans="1:9" ht="18.75">
      <c r="A2009" t="s">
        <v>2956</v>
      </c>
      <c r="B2009">
        <v>9</v>
      </c>
      <c r="C2009">
        <v>2025</v>
      </c>
      <c r="D2009" s="54">
        <v>45907</v>
      </c>
      <c r="E2009" s="121" t="s">
        <v>249</v>
      </c>
      <c r="F2009" s="76" t="s">
        <v>52</v>
      </c>
      <c r="G2009" s="52">
        <v>-28.74</v>
      </c>
      <c r="H2009" s="32" t="s">
        <v>282</v>
      </c>
    </row>
    <row r="2010" spans="1:9" ht="18.75">
      <c r="A2010" t="s">
        <v>2957</v>
      </c>
      <c r="B2010">
        <v>9</v>
      </c>
      <c r="C2010">
        <v>2025</v>
      </c>
      <c r="D2010" s="54">
        <v>45907</v>
      </c>
      <c r="E2010" s="121" t="s">
        <v>249</v>
      </c>
      <c r="F2010" s="76" t="s">
        <v>57</v>
      </c>
      <c r="G2010" s="52">
        <v>-279.68</v>
      </c>
      <c r="H2010" s="32" t="s">
        <v>282</v>
      </c>
    </row>
    <row r="2011" spans="1:9" ht="18.75">
      <c r="A2011" t="s">
        <v>2958</v>
      </c>
      <c r="B2011">
        <v>9</v>
      </c>
      <c r="C2011">
        <v>2025</v>
      </c>
      <c r="D2011" s="54">
        <v>45908</v>
      </c>
      <c r="E2011" s="121" t="s">
        <v>160</v>
      </c>
      <c r="F2011" s="76" t="s">
        <v>51</v>
      </c>
      <c r="G2011" s="52">
        <v>-125.87</v>
      </c>
      <c r="H2011" s="32" t="s">
        <v>199</v>
      </c>
    </row>
    <row r="2012" spans="1:9" ht="18.75">
      <c r="A2012" t="s">
        <v>2959</v>
      </c>
      <c r="B2012">
        <v>9</v>
      </c>
      <c r="C2012">
        <v>2025</v>
      </c>
      <c r="D2012" s="54">
        <v>45908</v>
      </c>
      <c r="E2012" s="121" t="s">
        <v>249</v>
      </c>
      <c r="F2012" s="76" t="s">
        <v>58</v>
      </c>
      <c r="G2012" s="52">
        <v>-8.19</v>
      </c>
      <c r="H2012" s="32" t="s">
        <v>525</v>
      </c>
    </row>
    <row r="2013" spans="1:9" ht="18.75">
      <c r="A2013" t="s">
        <v>2960</v>
      </c>
      <c r="B2013">
        <v>9</v>
      </c>
      <c r="C2013">
        <v>2025</v>
      </c>
      <c r="D2013" s="54">
        <v>45908</v>
      </c>
      <c r="E2013" s="121" t="s">
        <v>249</v>
      </c>
      <c r="F2013" s="76" t="s">
        <v>44</v>
      </c>
      <c r="G2013" s="52">
        <v>-61.02</v>
      </c>
      <c r="H2013" s="32" t="s">
        <v>1135</v>
      </c>
    </row>
    <row r="2014" spans="1:9" ht="18.75">
      <c r="A2014" t="s">
        <v>2961</v>
      </c>
      <c r="B2014">
        <v>9</v>
      </c>
      <c r="C2014">
        <v>2025</v>
      </c>
      <c r="D2014" s="54">
        <v>45908</v>
      </c>
      <c r="E2014" s="121" t="s">
        <v>249</v>
      </c>
      <c r="F2014" s="76" t="s">
        <v>66</v>
      </c>
      <c r="G2014" s="52">
        <v>-900</v>
      </c>
      <c r="H2014" s="32" t="s">
        <v>2962</v>
      </c>
      <c r="I2014" s="32" t="s">
        <v>2963</v>
      </c>
    </row>
    <row r="2015" spans="1:9" ht="18.75">
      <c r="A2015" t="s">
        <v>2964</v>
      </c>
      <c r="B2015">
        <v>9</v>
      </c>
      <c r="C2015">
        <v>2025</v>
      </c>
      <c r="D2015" s="54">
        <v>45908</v>
      </c>
      <c r="E2015" s="121" t="s">
        <v>249</v>
      </c>
      <c r="F2015" s="76" t="s">
        <v>57</v>
      </c>
      <c r="G2015" s="52">
        <v>-4.7699999999999996</v>
      </c>
      <c r="H2015" s="32" t="s">
        <v>282</v>
      </c>
    </row>
    <row r="2016" spans="1:9" ht="18.75">
      <c r="A2016" t="s">
        <v>2965</v>
      </c>
      <c r="B2016">
        <v>9</v>
      </c>
      <c r="C2016">
        <v>2025</v>
      </c>
      <c r="D2016" s="54">
        <v>45910</v>
      </c>
      <c r="E2016" s="121" t="s">
        <v>160</v>
      </c>
      <c r="F2016" s="76" t="s">
        <v>79</v>
      </c>
      <c r="G2016" s="52">
        <v>2389.89</v>
      </c>
      <c r="H2016" s="32" t="s">
        <v>1655</v>
      </c>
    </row>
    <row r="2017" spans="1:8" ht="18.75">
      <c r="A2017" t="s">
        <v>2966</v>
      </c>
      <c r="B2017">
        <v>9</v>
      </c>
      <c r="C2017">
        <v>2025</v>
      </c>
      <c r="D2017" s="54">
        <v>45910</v>
      </c>
      <c r="E2017" s="121" t="s">
        <v>160</v>
      </c>
      <c r="F2017" s="76" t="s">
        <v>36</v>
      </c>
      <c r="G2017" s="52">
        <v>-59.23</v>
      </c>
      <c r="H2017" s="32" t="s">
        <v>2967</v>
      </c>
    </row>
    <row r="2018" spans="1:8" ht="18.75">
      <c r="A2018" t="s">
        <v>2968</v>
      </c>
      <c r="B2018">
        <v>9</v>
      </c>
      <c r="C2018">
        <v>2025</v>
      </c>
      <c r="D2018" s="54">
        <v>45910</v>
      </c>
      <c r="E2018" s="121" t="s">
        <v>249</v>
      </c>
      <c r="F2018" s="76" t="s">
        <v>58</v>
      </c>
      <c r="G2018" s="52">
        <v>-14.23</v>
      </c>
      <c r="H2018" s="32" t="s">
        <v>2969</v>
      </c>
    </row>
    <row r="2019" spans="1:8" ht="18.75">
      <c r="A2019" t="s">
        <v>2970</v>
      </c>
      <c r="B2019">
        <v>9</v>
      </c>
      <c r="C2019">
        <v>2025</v>
      </c>
      <c r="D2019" s="54">
        <v>45911</v>
      </c>
      <c r="E2019" s="121" t="s">
        <v>160</v>
      </c>
      <c r="F2019" s="76" t="s">
        <v>79</v>
      </c>
      <c r="G2019" s="52">
        <v>1327.81</v>
      </c>
      <c r="H2019" s="32" t="s">
        <v>190</v>
      </c>
    </row>
    <row r="2020" spans="1:8" ht="18.75">
      <c r="A2020" t="s">
        <v>2971</v>
      </c>
      <c r="B2020">
        <v>9</v>
      </c>
      <c r="C2020">
        <v>2025</v>
      </c>
      <c r="D2020" s="54">
        <v>45912</v>
      </c>
      <c r="E2020" s="121" t="s">
        <v>249</v>
      </c>
      <c r="F2020" s="76" t="s">
        <v>57</v>
      </c>
      <c r="G2020" s="52">
        <v>-20.89</v>
      </c>
      <c r="H2020" s="32" t="s">
        <v>1219</v>
      </c>
    </row>
    <row r="2021" spans="1:8" ht="18.75">
      <c r="A2021" t="s">
        <v>2972</v>
      </c>
      <c r="B2021">
        <v>9</v>
      </c>
      <c r="C2021">
        <v>2025</v>
      </c>
      <c r="D2021" s="54">
        <v>45912</v>
      </c>
      <c r="E2021" s="121" t="s">
        <v>249</v>
      </c>
      <c r="F2021" s="76" t="s">
        <v>59</v>
      </c>
      <c r="G2021" s="52">
        <v>-38.35</v>
      </c>
      <c r="H2021" s="32" t="s">
        <v>2973</v>
      </c>
    </row>
    <row r="2022" spans="1:8" ht="18.75">
      <c r="A2022" t="s">
        <v>2974</v>
      </c>
      <c r="B2022">
        <v>9</v>
      </c>
      <c r="C2022">
        <v>2025</v>
      </c>
      <c r="D2022" s="54">
        <v>45912</v>
      </c>
      <c r="E2022" s="121" t="s">
        <v>249</v>
      </c>
      <c r="F2022" s="76" t="s">
        <v>45</v>
      </c>
      <c r="G2022" s="52">
        <v>-102.21</v>
      </c>
      <c r="H2022" s="32" t="s">
        <v>2975</v>
      </c>
    </row>
    <row r="2023" spans="1:8" ht="18.75">
      <c r="A2023" t="s">
        <v>2976</v>
      </c>
      <c r="B2023">
        <v>9</v>
      </c>
      <c r="C2023">
        <v>2025</v>
      </c>
      <c r="D2023" s="54">
        <v>45912</v>
      </c>
      <c r="E2023" s="121" t="s">
        <v>249</v>
      </c>
      <c r="F2023" s="76" t="s">
        <v>45</v>
      </c>
      <c r="G2023" s="52">
        <v>-43.39</v>
      </c>
      <c r="H2023" s="32" t="s">
        <v>2975</v>
      </c>
    </row>
    <row r="2024" spans="1:8" ht="18.75">
      <c r="A2024" t="s">
        <v>2977</v>
      </c>
      <c r="B2024">
        <v>9</v>
      </c>
      <c r="C2024">
        <v>2025</v>
      </c>
      <c r="D2024" s="54">
        <v>45912</v>
      </c>
      <c r="E2024" s="121" t="s">
        <v>249</v>
      </c>
      <c r="F2024" s="76" t="s">
        <v>50</v>
      </c>
      <c r="G2024" s="52">
        <v>-184.8</v>
      </c>
      <c r="H2024" s="32" t="s">
        <v>727</v>
      </c>
    </row>
    <row r="2025" spans="1:8" ht="18.75">
      <c r="A2025" t="s">
        <v>2978</v>
      </c>
      <c r="B2025">
        <v>9</v>
      </c>
      <c r="C2025">
        <v>2025</v>
      </c>
      <c r="D2025" s="54">
        <v>45912</v>
      </c>
      <c r="E2025" s="121" t="s">
        <v>249</v>
      </c>
      <c r="F2025" s="76" t="s">
        <v>57</v>
      </c>
      <c r="G2025" s="52">
        <v>-5.99</v>
      </c>
      <c r="H2025" s="32" t="s">
        <v>1172</v>
      </c>
    </row>
    <row r="2026" spans="1:8" ht="18.75">
      <c r="A2026" t="s">
        <v>2979</v>
      </c>
      <c r="B2026">
        <v>9</v>
      </c>
      <c r="C2026">
        <v>2025</v>
      </c>
      <c r="D2026" s="54">
        <v>45912</v>
      </c>
      <c r="E2026" s="121" t="s">
        <v>249</v>
      </c>
      <c r="F2026" s="76" t="s">
        <v>46</v>
      </c>
      <c r="G2026" s="52">
        <v>-20</v>
      </c>
      <c r="H2026" s="32" t="s">
        <v>268</v>
      </c>
    </row>
    <row r="2027" spans="1:8" ht="18.75">
      <c r="A2027" t="s">
        <v>2980</v>
      </c>
      <c r="B2027">
        <v>9</v>
      </c>
      <c r="C2027">
        <v>2025</v>
      </c>
      <c r="D2027" s="54">
        <v>45913</v>
      </c>
      <c r="E2027" s="121" t="s">
        <v>249</v>
      </c>
      <c r="F2027" s="76" t="s">
        <v>65</v>
      </c>
      <c r="G2027" s="52">
        <v>-43.34</v>
      </c>
      <c r="H2027" s="32" t="s">
        <v>258</v>
      </c>
    </row>
    <row r="2028" spans="1:8" ht="18.75">
      <c r="A2028" t="s">
        <v>2981</v>
      </c>
      <c r="B2028">
        <v>9</v>
      </c>
      <c r="C2028">
        <v>2025</v>
      </c>
      <c r="D2028" s="54">
        <v>45913</v>
      </c>
      <c r="E2028" s="121" t="s">
        <v>249</v>
      </c>
      <c r="F2028" s="76" t="s">
        <v>57</v>
      </c>
      <c r="G2028" s="52">
        <v>-166.07</v>
      </c>
      <c r="H2028" s="32" t="s">
        <v>351</v>
      </c>
    </row>
    <row r="2029" spans="1:8" ht="18.75">
      <c r="A2029" t="s">
        <v>2982</v>
      </c>
      <c r="B2029">
        <v>9</v>
      </c>
      <c r="C2029">
        <v>2025</v>
      </c>
      <c r="D2029" s="54">
        <v>45913</v>
      </c>
      <c r="E2029" s="121" t="s">
        <v>249</v>
      </c>
      <c r="F2029" s="76" t="s">
        <v>55</v>
      </c>
      <c r="G2029" s="52">
        <v>-147.78</v>
      </c>
      <c r="H2029" s="32" t="s">
        <v>356</v>
      </c>
    </row>
    <row r="2030" spans="1:8" ht="18.75">
      <c r="A2030" t="s">
        <v>2983</v>
      </c>
      <c r="B2030">
        <v>9</v>
      </c>
      <c r="C2030">
        <v>2025</v>
      </c>
      <c r="D2030" s="54">
        <v>45913</v>
      </c>
      <c r="E2030" s="121" t="s">
        <v>249</v>
      </c>
      <c r="F2030" s="76" t="s">
        <v>65</v>
      </c>
      <c r="G2030" s="52">
        <v>-223.74</v>
      </c>
      <c r="H2030" s="32" t="s">
        <v>258</v>
      </c>
    </row>
    <row r="2031" spans="1:8" ht="18.75">
      <c r="A2031" t="s">
        <v>2984</v>
      </c>
      <c r="B2031">
        <v>9</v>
      </c>
      <c r="C2031">
        <v>2025</v>
      </c>
      <c r="D2031" s="54">
        <v>45914</v>
      </c>
      <c r="E2031" s="121" t="s">
        <v>249</v>
      </c>
      <c r="F2031" s="76" t="s">
        <v>65</v>
      </c>
      <c r="G2031" s="52">
        <v>-27.88</v>
      </c>
      <c r="H2031" s="32" t="s">
        <v>2985</v>
      </c>
    </row>
    <row r="2032" spans="1:8" ht="18.75">
      <c r="A2032" t="s">
        <v>2986</v>
      </c>
      <c r="B2032">
        <v>9</v>
      </c>
      <c r="C2032">
        <v>2025</v>
      </c>
      <c r="D2032" s="54">
        <v>45929</v>
      </c>
      <c r="E2032" s="121" t="s">
        <v>160</v>
      </c>
      <c r="F2032" s="76" t="s">
        <v>49</v>
      </c>
      <c r="G2032" s="52">
        <v>-50</v>
      </c>
      <c r="H2032" s="32" t="s">
        <v>161</v>
      </c>
    </row>
    <row r="2033" spans="1:9" ht="18.75">
      <c r="A2033" t="s">
        <v>2987</v>
      </c>
      <c r="B2033">
        <v>9</v>
      </c>
      <c r="C2033">
        <v>2025</v>
      </c>
      <c r="D2033" s="54">
        <v>45915</v>
      </c>
      <c r="E2033" s="121" t="s">
        <v>160</v>
      </c>
      <c r="F2033" s="76" t="s">
        <v>64</v>
      </c>
      <c r="G2033" s="52">
        <v>-302</v>
      </c>
      <c r="H2033" s="32" t="s">
        <v>208</v>
      </c>
    </row>
    <row r="2034" spans="1:9" ht="18.75">
      <c r="A2034" t="s">
        <v>2988</v>
      </c>
      <c r="B2034">
        <v>9</v>
      </c>
      <c r="C2034">
        <v>2025</v>
      </c>
      <c r="D2034" s="54">
        <v>45916</v>
      </c>
      <c r="E2034" s="121" t="s">
        <v>160</v>
      </c>
      <c r="F2034" s="76" t="s">
        <v>43</v>
      </c>
      <c r="G2034" s="52">
        <v>-9.0299999999999994</v>
      </c>
      <c r="H2034" s="32" t="s">
        <v>163</v>
      </c>
    </row>
    <row r="2035" spans="1:9" ht="18.75">
      <c r="A2035" t="s">
        <v>2989</v>
      </c>
      <c r="B2035">
        <v>9</v>
      </c>
      <c r="C2035">
        <v>2025</v>
      </c>
      <c r="D2035" s="54">
        <v>45916</v>
      </c>
      <c r="E2035" s="121" t="s">
        <v>160</v>
      </c>
      <c r="F2035" s="76" t="s">
        <v>39</v>
      </c>
      <c r="G2035" s="52">
        <v>-125.43</v>
      </c>
      <c r="H2035" s="32" t="s">
        <v>2990</v>
      </c>
    </row>
    <row r="2036" spans="1:9" ht="18.75">
      <c r="A2036" t="s">
        <v>2991</v>
      </c>
      <c r="B2036">
        <v>9</v>
      </c>
      <c r="C2036">
        <v>2025</v>
      </c>
      <c r="D2036" s="54">
        <v>45916</v>
      </c>
      <c r="E2036" s="121" t="s">
        <v>160</v>
      </c>
      <c r="F2036" s="76" t="s">
        <v>51</v>
      </c>
      <c r="G2036" s="52">
        <v>-125.57</v>
      </c>
      <c r="H2036" s="32" t="s">
        <v>210</v>
      </c>
    </row>
    <row r="2037" spans="1:9" ht="18.75">
      <c r="A2037" t="s">
        <v>2992</v>
      </c>
      <c r="B2037">
        <v>9</v>
      </c>
      <c r="C2037">
        <v>2025</v>
      </c>
      <c r="D2037" s="54">
        <v>45916</v>
      </c>
      <c r="E2037" s="121" t="s">
        <v>249</v>
      </c>
      <c r="F2037" s="76" t="s">
        <v>79</v>
      </c>
      <c r="G2037" s="52">
        <v>4256.3100000000004</v>
      </c>
      <c r="H2037" s="32" t="s">
        <v>1755</v>
      </c>
    </row>
    <row r="2038" spans="1:9" ht="18.75">
      <c r="A2038" t="s">
        <v>2993</v>
      </c>
      <c r="B2038">
        <v>9</v>
      </c>
      <c r="C2038">
        <v>2025</v>
      </c>
      <c r="D2038" s="54">
        <v>45916</v>
      </c>
      <c r="E2038" s="121" t="s">
        <v>249</v>
      </c>
      <c r="F2038" s="76" t="s">
        <v>58</v>
      </c>
      <c r="G2038" s="52">
        <v>-56.11</v>
      </c>
      <c r="H2038" s="32" t="s">
        <v>1364</v>
      </c>
    </row>
    <row r="2039" spans="1:9" ht="18.75">
      <c r="A2039" t="s">
        <v>2994</v>
      </c>
      <c r="B2039">
        <v>9</v>
      </c>
      <c r="C2039">
        <v>2025</v>
      </c>
      <c r="D2039" s="54">
        <v>45916</v>
      </c>
      <c r="E2039" s="121" t="s">
        <v>249</v>
      </c>
      <c r="F2039" s="76" t="s">
        <v>59</v>
      </c>
      <c r="G2039" s="52">
        <v>-23.01</v>
      </c>
      <c r="H2039" s="32" t="s">
        <v>2995</v>
      </c>
    </row>
    <row r="2040" spans="1:9" ht="18.75">
      <c r="A2040" t="s">
        <v>2996</v>
      </c>
      <c r="B2040">
        <v>9</v>
      </c>
      <c r="C2040">
        <v>2025</v>
      </c>
      <c r="D2040" s="54">
        <v>45917</v>
      </c>
      <c r="E2040" s="121" t="s">
        <v>160</v>
      </c>
      <c r="F2040" s="76" t="s">
        <v>79</v>
      </c>
      <c r="G2040" s="52">
        <v>-4256.3100000000004</v>
      </c>
      <c r="H2040" s="32" t="s">
        <v>214</v>
      </c>
    </row>
    <row r="2041" spans="1:9" ht="18.75">
      <c r="A2041" t="s">
        <v>2997</v>
      </c>
      <c r="B2041">
        <v>9</v>
      </c>
      <c r="C2041">
        <v>2025</v>
      </c>
      <c r="D2041" s="54">
        <v>45917</v>
      </c>
      <c r="E2041" s="121" t="s">
        <v>160</v>
      </c>
      <c r="F2041" s="76" t="s">
        <v>60</v>
      </c>
      <c r="G2041" s="52">
        <v>-78</v>
      </c>
      <c r="H2041" s="32" t="s">
        <v>212</v>
      </c>
    </row>
    <row r="2042" spans="1:9" ht="18.75">
      <c r="A2042" t="s">
        <v>2998</v>
      </c>
      <c r="B2042">
        <v>9</v>
      </c>
      <c r="C2042">
        <v>2025</v>
      </c>
      <c r="D2042" s="54">
        <v>45917</v>
      </c>
      <c r="E2042" s="121" t="s">
        <v>249</v>
      </c>
      <c r="F2042" s="76" t="s">
        <v>65</v>
      </c>
      <c r="G2042" s="52">
        <v>-99.99</v>
      </c>
      <c r="H2042" s="32" t="s">
        <v>258</v>
      </c>
    </row>
    <row r="2043" spans="1:9" ht="18.75">
      <c r="A2043" t="s">
        <v>2999</v>
      </c>
      <c r="B2043">
        <v>9</v>
      </c>
      <c r="C2043">
        <v>2025</v>
      </c>
      <c r="D2043" s="54">
        <v>45917</v>
      </c>
      <c r="E2043" s="121" t="s">
        <v>249</v>
      </c>
      <c r="F2043" s="76" t="s">
        <v>58</v>
      </c>
      <c r="G2043" s="52">
        <v>-39.53</v>
      </c>
      <c r="H2043" s="32" t="s">
        <v>282</v>
      </c>
    </row>
    <row r="2044" spans="1:9" ht="18.75">
      <c r="A2044" t="s">
        <v>3000</v>
      </c>
      <c r="B2044">
        <v>9</v>
      </c>
      <c r="C2044">
        <v>2025</v>
      </c>
      <c r="D2044" s="54">
        <v>45918</v>
      </c>
      <c r="E2044" s="121" t="s">
        <v>249</v>
      </c>
      <c r="F2044" s="76" t="s">
        <v>32</v>
      </c>
      <c r="G2044" s="52">
        <v>-52.46</v>
      </c>
      <c r="H2044" s="32" t="s">
        <v>646</v>
      </c>
    </row>
    <row r="2045" spans="1:9" ht="18.75">
      <c r="A2045" t="s">
        <v>3001</v>
      </c>
      <c r="B2045">
        <v>9</v>
      </c>
      <c r="C2045">
        <v>2025</v>
      </c>
      <c r="D2045" s="54">
        <v>45919</v>
      </c>
      <c r="E2045" s="121" t="s">
        <v>160</v>
      </c>
      <c r="F2045" s="76" t="s">
        <v>33</v>
      </c>
      <c r="G2045" s="52">
        <v>-443.25</v>
      </c>
      <c r="H2045" s="32" t="s">
        <v>3002</v>
      </c>
    </row>
    <row r="2046" spans="1:9" ht="18.75">
      <c r="A2046" t="s">
        <v>3003</v>
      </c>
      <c r="B2046">
        <v>9</v>
      </c>
      <c r="C2046">
        <v>2025</v>
      </c>
      <c r="D2046" s="54">
        <v>45919</v>
      </c>
      <c r="E2046" s="121" t="s">
        <v>146</v>
      </c>
      <c r="F2046" s="76" t="s">
        <v>47</v>
      </c>
      <c r="G2046" s="52">
        <v>-30</v>
      </c>
      <c r="H2046" s="32" t="s">
        <v>3004</v>
      </c>
      <c r="I2046" s="32" t="s">
        <v>3005</v>
      </c>
    </row>
    <row r="2047" spans="1:9" ht="18.75">
      <c r="A2047" t="s">
        <v>3006</v>
      </c>
      <c r="B2047">
        <v>9</v>
      </c>
      <c r="C2047">
        <v>2025</v>
      </c>
      <c r="D2047" s="54">
        <v>45919</v>
      </c>
      <c r="E2047" s="121" t="s">
        <v>249</v>
      </c>
      <c r="F2047" s="76" t="s">
        <v>65</v>
      </c>
      <c r="G2047" s="52">
        <v>-42.93</v>
      </c>
      <c r="H2047" s="32" t="s">
        <v>601</v>
      </c>
    </row>
    <row r="2048" spans="1:9" ht="18.75">
      <c r="A2048" t="s">
        <v>3007</v>
      </c>
      <c r="B2048">
        <v>9</v>
      </c>
      <c r="C2048">
        <v>2025</v>
      </c>
      <c r="D2048" s="54">
        <v>45920</v>
      </c>
      <c r="E2048" s="121" t="s">
        <v>249</v>
      </c>
      <c r="F2048" s="76" t="s">
        <v>57</v>
      </c>
      <c r="G2048" s="52">
        <v>-49.98</v>
      </c>
      <c r="H2048" s="32" t="s">
        <v>351</v>
      </c>
    </row>
    <row r="2049" spans="1:9" ht="18.75">
      <c r="A2049" t="s">
        <v>3008</v>
      </c>
      <c r="B2049">
        <v>9</v>
      </c>
      <c r="C2049">
        <v>2025</v>
      </c>
      <c r="D2049" s="54">
        <v>45920</v>
      </c>
      <c r="E2049" s="121" t="s">
        <v>249</v>
      </c>
      <c r="F2049" s="76" t="s">
        <v>65</v>
      </c>
      <c r="G2049" s="52">
        <v>-13.53</v>
      </c>
      <c r="H2049" s="32" t="s">
        <v>601</v>
      </c>
    </row>
    <row r="2050" spans="1:9" ht="18.75">
      <c r="A2050" t="s">
        <v>3009</v>
      </c>
      <c r="B2050">
        <v>9</v>
      </c>
      <c r="C2050">
        <v>2025</v>
      </c>
      <c r="D2050" s="54">
        <v>45920</v>
      </c>
      <c r="E2050" s="121" t="s">
        <v>249</v>
      </c>
      <c r="F2050" s="76" t="s">
        <v>65</v>
      </c>
      <c r="G2050" s="52">
        <v>28.25</v>
      </c>
      <c r="H2050" s="32" t="s">
        <v>601</v>
      </c>
    </row>
    <row r="2051" spans="1:9" ht="18.75">
      <c r="A2051" t="s">
        <v>3010</v>
      </c>
      <c r="B2051">
        <v>9</v>
      </c>
      <c r="C2051">
        <v>2025</v>
      </c>
      <c r="D2051" s="54">
        <v>45920</v>
      </c>
      <c r="E2051" s="121" t="s">
        <v>249</v>
      </c>
      <c r="F2051" s="76" t="s">
        <v>65</v>
      </c>
      <c r="G2051" s="52">
        <v>-19.2</v>
      </c>
      <c r="H2051" s="32" t="s">
        <v>601</v>
      </c>
    </row>
    <row r="2052" spans="1:9" ht="18.75">
      <c r="A2052" t="s">
        <v>3011</v>
      </c>
      <c r="B2052">
        <v>9</v>
      </c>
      <c r="C2052">
        <v>2025</v>
      </c>
      <c r="D2052" s="54">
        <v>45921</v>
      </c>
      <c r="E2052" s="121" t="s">
        <v>249</v>
      </c>
      <c r="F2052" s="76" t="s">
        <v>52</v>
      </c>
      <c r="G2052" s="52">
        <v>-27.31</v>
      </c>
      <c r="H2052" s="32" t="s">
        <v>282</v>
      </c>
    </row>
    <row r="2053" spans="1:9" ht="18.75">
      <c r="A2053" t="s">
        <v>3012</v>
      </c>
      <c r="B2053">
        <v>9</v>
      </c>
      <c r="C2053">
        <v>2025</v>
      </c>
      <c r="D2053" s="54">
        <v>45921</v>
      </c>
      <c r="E2053" s="121" t="s">
        <v>249</v>
      </c>
      <c r="F2053" s="76" t="s">
        <v>57</v>
      </c>
      <c r="G2053" s="52">
        <v>-151.56</v>
      </c>
      <c r="H2053" s="32" t="s">
        <v>282</v>
      </c>
    </row>
    <row r="2054" spans="1:9" ht="18.75">
      <c r="B2054">
        <v>9</v>
      </c>
      <c r="C2054">
        <v>2025</v>
      </c>
      <c r="D2054" s="54">
        <v>45922</v>
      </c>
      <c r="E2054" s="121" t="s">
        <v>146</v>
      </c>
      <c r="F2054" s="76" t="s">
        <v>31</v>
      </c>
      <c r="G2054" s="52">
        <v>-388</v>
      </c>
      <c r="H2054" s="32" t="s">
        <v>3013</v>
      </c>
    </row>
    <row r="2055" spans="1:9" ht="18.75">
      <c r="B2055">
        <v>9</v>
      </c>
      <c r="C2055">
        <v>2025</v>
      </c>
      <c r="D2055" s="54">
        <v>45922</v>
      </c>
      <c r="E2055" s="121" t="s">
        <v>146</v>
      </c>
      <c r="F2055" s="76" t="s">
        <v>31</v>
      </c>
      <c r="G2055" s="52">
        <f>293.78-80</f>
        <v>213.77999999999997</v>
      </c>
      <c r="H2055" s="32" t="s">
        <v>3014</v>
      </c>
    </row>
    <row r="2056" spans="1:9" ht="18.75">
      <c r="B2056">
        <v>9</v>
      </c>
      <c r="C2056">
        <v>2025</v>
      </c>
      <c r="D2056" s="54">
        <v>45922</v>
      </c>
      <c r="E2056" s="121" t="s">
        <v>160</v>
      </c>
      <c r="F2056" s="76" t="s">
        <v>60</v>
      </c>
      <c r="G2056" s="52">
        <f>G2055*-1</f>
        <v>-213.77999999999997</v>
      </c>
      <c r="H2056" s="32" t="s">
        <v>3015</v>
      </c>
    </row>
    <row r="2057" spans="1:9" ht="18.75">
      <c r="B2057">
        <v>9</v>
      </c>
      <c r="C2057">
        <v>2025</v>
      </c>
      <c r="D2057" s="54">
        <v>45922</v>
      </c>
      <c r="E2057" s="121" t="s">
        <v>160</v>
      </c>
      <c r="F2057" s="76" t="s">
        <v>43</v>
      </c>
      <c r="G2057">
        <f>G2058*-1</f>
        <v>-51.76</v>
      </c>
      <c r="H2057" s="32" t="s">
        <v>3016</v>
      </c>
    </row>
    <row r="2058" spans="1:9" ht="18.75">
      <c r="B2058">
        <v>9</v>
      </c>
      <c r="C2058">
        <v>2025</v>
      </c>
      <c r="D2058" s="54">
        <v>45922</v>
      </c>
      <c r="E2058" s="121" t="s">
        <v>160</v>
      </c>
      <c r="F2058" s="76" t="s">
        <v>45</v>
      </c>
      <c r="G2058">
        <v>51.76</v>
      </c>
      <c r="H2058" s="32" t="s">
        <v>3017</v>
      </c>
    </row>
    <row r="2059" spans="1:9" ht="18.75">
      <c r="B2059">
        <v>9</v>
      </c>
      <c r="C2059">
        <v>2025</v>
      </c>
      <c r="D2059" s="54">
        <v>45922</v>
      </c>
      <c r="E2059" s="121" t="s">
        <v>160</v>
      </c>
      <c r="F2059" s="76" t="s">
        <v>62</v>
      </c>
      <c r="G2059" s="52">
        <v>-158</v>
      </c>
      <c r="H2059" s="32" t="s">
        <v>3015</v>
      </c>
    </row>
    <row r="2060" spans="1:9" ht="18.75">
      <c r="B2060">
        <v>9</v>
      </c>
      <c r="C2060">
        <v>2025</v>
      </c>
      <c r="D2060" s="54">
        <v>45922</v>
      </c>
      <c r="E2060" s="121" t="s">
        <v>160</v>
      </c>
      <c r="F2060" s="76" t="s">
        <v>31</v>
      </c>
      <c r="G2060" s="52">
        <v>158</v>
      </c>
      <c r="H2060" s="32" t="s">
        <v>3018</v>
      </c>
    </row>
    <row r="2061" spans="1:9" ht="18.75">
      <c r="B2061">
        <v>9</v>
      </c>
      <c r="C2061">
        <v>2025</v>
      </c>
      <c r="D2061" s="54">
        <v>45922</v>
      </c>
      <c r="E2061" s="121" t="s">
        <v>160</v>
      </c>
      <c r="F2061" s="76" t="s">
        <v>59</v>
      </c>
      <c r="G2061" s="52">
        <v>-200</v>
      </c>
      <c r="H2061" s="32" t="s">
        <v>3015</v>
      </c>
    </row>
    <row r="2062" spans="1:9" ht="18.75">
      <c r="B2062">
        <v>9</v>
      </c>
      <c r="C2062">
        <v>2025</v>
      </c>
      <c r="D2062" s="54">
        <v>45922</v>
      </c>
      <c r="E2062" s="121" t="s">
        <v>160</v>
      </c>
      <c r="F2062" s="76" t="s">
        <v>31</v>
      </c>
      <c r="G2062" s="52">
        <v>200</v>
      </c>
      <c r="H2062" s="32" t="s">
        <v>3019</v>
      </c>
    </row>
    <row r="2063" spans="1:9" ht="18.75">
      <c r="B2063">
        <v>9</v>
      </c>
      <c r="C2063">
        <v>2025</v>
      </c>
      <c r="D2063" s="54">
        <v>45922</v>
      </c>
      <c r="E2063" s="121" t="s">
        <v>146</v>
      </c>
      <c r="F2063" s="76" t="s">
        <v>31</v>
      </c>
      <c r="G2063" s="52">
        <v>60</v>
      </c>
      <c r="H2063" s="32" t="s">
        <v>3020</v>
      </c>
    </row>
    <row r="2064" spans="1:9" ht="18.75">
      <c r="A2064" t="s">
        <v>3021</v>
      </c>
      <c r="B2064">
        <v>9</v>
      </c>
      <c r="C2064">
        <v>2025</v>
      </c>
      <c r="D2064" s="54">
        <v>45922</v>
      </c>
      <c r="E2064" s="121" t="s">
        <v>249</v>
      </c>
      <c r="F2064" s="76" t="s">
        <v>79</v>
      </c>
      <c r="G2064" s="52">
        <v>60</v>
      </c>
      <c r="H2064" s="32" t="s">
        <v>402</v>
      </c>
      <c r="I2064" s="32" t="s">
        <v>3022</v>
      </c>
    </row>
    <row r="2065" spans="1:9" ht="18.75">
      <c r="A2065" t="s">
        <v>3023</v>
      </c>
      <c r="B2065">
        <v>9</v>
      </c>
      <c r="C2065">
        <v>2025</v>
      </c>
      <c r="D2065" s="54">
        <v>45922</v>
      </c>
      <c r="E2065" s="121" t="s">
        <v>249</v>
      </c>
      <c r="F2065" s="76" t="s">
        <v>79</v>
      </c>
      <c r="G2065" s="52">
        <v>3622.38</v>
      </c>
      <c r="H2065" s="32" t="s">
        <v>402</v>
      </c>
    </row>
    <row r="2066" spans="1:9" ht="18.75">
      <c r="A2066" t="s">
        <v>3024</v>
      </c>
      <c r="B2066">
        <v>9</v>
      </c>
      <c r="C2066">
        <v>2025</v>
      </c>
      <c r="D2066" s="54">
        <v>45922</v>
      </c>
      <c r="E2066" s="121" t="s">
        <v>146</v>
      </c>
      <c r="F2066" s="76" t="s">
        <v>79</v>
      </c>
      <c r="G2066" s="52">
        <v>-388</v>
      </c>
      <c r="H2066" s="32" t="s">
        <v>3025</v>
      </c>
      <c r="I2066" s="32" t="s">
        <v>3013</v>
      </c>
    </row>
    <row r="2067" spans="1:9" ht="18.75">
      <c r="A2067" t="s">
        <v>3026</v>
      </c>
      <c r="B2067">
        <v>9</v>
      </c>
      <c r="C2067">
        <v>2025</v>
      </c>
      <c r="D2067" s="54">
        <v>45922</v>
      </c>
      <c r="E2067" s="121" t="s">
        <v>146</v>
      </c>
      <c r="F2067" s="76" t="s">
        <v>79</v>
      </c>
      <c r="G2067" s="52">
        <v>-1457.22</v>
      </c>
      <c r="H2067" s="32" t="s">
        <v>3027</v>
      </c>
    </row>
    <row r="2068" spans="1:9" ht="18.75">
      <c r="A2068" t="s">
        <v>3028</v>
      </c>
      <c r="B2068">
        <v>9</v>
      </c>
      <c r="C2068">
        <v>2025</v>
      </c>
      <c r="D2068" s="54">
        <v>45922</v>
      </c>
      <c r="E2068" s="121" t="s">
        <v>160</v>
      </c>
      <c r="F2068" s="76" t="s">
        <v>79</v>
      </c>
      <c r="G2068" s="52">
        <v>1457.22</v>
      </c>
      <c r="H2068" s="32" t="s">
        <v>3029</v>
      </c>
    </row>
    <row r="2069" spans="1:9" ht="18.75">
      <c r="A2069" t="s">
        <v>3030</v>
      </c>
      <c r="B2069">
        <v>9</v>
      </c>
      <c r="C2069">
        <v>2025</v>
      </c>
      <c r="D2069" s="54">
        <v>45922</v>
      </c>
      <c r="E2069" s="121" t="s">
        <v>160</v>
      </c>
      <c r="F2069" s="76" t="s">
        <v>63</v>
      </c>
      <c r="G2069" s="52">
        <v>-112.7</v>
      </c>
      <c r="H2069" s="32" t="s">
        <v>224</v>
      </c>
    </row>
    <row r="2070" spans="1:9" ht="18.75">
      <c r="A2070" t="s">
        <v>3031</v>
      </c>
      <c r="B2070">
        <v>9</v>
      </c>
      <c r="C2070">
        <v>2025</v>
      </c>
      <c r="D2070" s="54">
        <v>45923</v>
      </c>
      <c r="E2070" s="121" t="s">
        <v>146</v>
      </c>
      <c r="F2070" s="76" t="s">
        <v>79</v>
      </c>
      <c r="G2070" s="52">
        <v>-1000</v>
      </c>
      <c r="H2070" s="32" t="s">
        <v>3032</v>
      </c>
      <c r="I2070" s="32" t="s">
        <v>3033</v>
      </c>
    </row>
    <row r="2071" spans="1:9" ht="18.75">
      <c r="A2071" t="s">
        <v>3034</v>
      </c>
      <c r="B2071">
        <v>9</v>
      </c>
      <c r="C2071">
        <v>2025</v>
      </c>
      <c r="D2071" s="54">
        <v>45923</v>
      </c>
      <c r="E2071" s="121" t="s">
        <v>160</v>
      </c>
      <c r="F2071" s="76" t="s">
        <v>79</v>
      </c>
      <c r="G2071" s="52">
        <v>-3622.38</v>
      </c>
      <c r="H2071" s="32" t="s">
        <v>3035</v>
      </c>
    </row>
    <row r="2072" spans="1:9" ht="18.75">
      <c r="A2072" t="s">
        <v>3036</v>
      </c>
      <c r="B2072">
        <v>9</v>
      </c>
      <c r="C2072">
        <v>2025</v>
      </c>
      <c r="D2072" s="54">
        <v>45924</v>
      </c>
      <c r="E2072" s="121" t="s">
        <v>249</v>
      </c>
      <c r="F2072" s="76" t="s">
        <v>66</v>
      </c>
      <c r="G2072" s="52">
        <v>-606.75</v>
      </c>
      <c r="H2072" s="32" t="s">
        <v>408</v>
      </c>
    </row>
    <row r="2073" spans="1:9" ht="18.75">
      <c r="A2073" t="s">
        <v>3037</v>
      </c>
      <c r="B2073">
        <v>9</v>
      </c>
      <c r="C2073">
        <v>2025</v>
      </c>
      <c r="D2073" s="54">
        <v>45924</v>
      </c>
      <c r="E2073" s="121" t="s">
        <v>160</v>
      </c>
      <c r="F2073" s="76" t="s">
        <v>79</v>
      </c>
      <c r="G2073" s="52">
        <v>2437.4</v>
      </c>
      <c r="H2073" s="32" t="s">
        <v>1655</v>
      </c>
    </row>
    <row r="2074" spans="1:9" ht="18.75">
      <c r="A2074" t="s">
        <v>3038</v>
      </c>
      <c r="B2074">
        <v>9</v>
      </c>
      <c r="C2074">
        <v>2025</v>
      </c>
      <c r="D2074" s="54">
        <v>45924</v>
      </c>
      <c r="E2074" s="121" t="s">
        <v>160</v>
      </c>
      <c r="F2074" s="76" t="s">
        <v>29</v>
      </c>
      <c r="G2074" s="52">
        <v>-221.5</v>
      </c>
      <c r="H2074" s="32" t="s">
        <v>167</v>
      </c>
    </row>
    <row r="2075" spans="1:9" ht="18.75">
      <c r="A2075" t="s">
        <v>3039</v>
      </c>
      <c r="B2075">
        <v>9</v>
      </c>
      <c r="C2075">
        <v>2025</v>
      </c>
      <c r="D2075" s="54">
        <v>45925</v>
      </c>
      <c r="E2075" s="121" t="s">
        <v>160</v>
      </c>
      <c r="F2075" s="76" t="s">
        <v>79</v>
      </c>
      <c r="G2075" s="52">
        <v>1327.81</v>
      </c>
      <c r="H2075" s="32" t="s">
        <v>190</v>
      </c>
    </row>
    <row r="2076" spans="1:9" ht="18.75">
      <c r="A2076" t="s">
        <v>3040</v>
      </c>
      <c r="B2076">
        <v>9</v>
      </c>
      <c r="C2076">
        <v>2025</v>
      </c>
      <c r="D2076" s="54">
        <v>45925</v>
      </c>
      <c r="E2076" s="121" t="s">
        <v>160</v>
      </c>
      <c r="F2076" s="76" t="s">
        <v>48</v>
      </c>
      <c r="G2076" s="52">
        <v>-4</v>
      </c>
      <c r="H2076" s="32" t="s">
        <v>228</v>
      </c>
    </row>
    <row r="2077" spans="1:9" ht="18.75">
      <c r="A2077" t="s">
        <v>3041</v>
      </c>
      <c r="B2077">
        <v>9</v>
      </c>
      <c r="C2077">
        <v>2025</v>
      </c>
      <c r="D2077" s="54">
        <v>45925</v>
      </c>
      <c r="E2077" s="121" t="s">
        <v>160</v>
      </c>
      <c r="F2077" s="76" t="s">
        <v>48</v>
      </c>
      <c r="G2077" s="52">
        <v>-3.75</v>
      </c>
      <c r="H2077" s="32" t="s">
        <v>3042</v>
      </c>
    </row>
    <row r="2078" spans="1:9" ht="18.75">
      <c r="A2078" t="s">
        <v>3043</v>
      </c>
      <c r="B2078">
        <v>9</v>
      </c>
      <c r="C2078">
        <v>2025</v>
      </c>
      <c r="D2078" s="54">
        <v>45926</v>
      </c>
      <c r="E2078" s="121" t="s">
        <v>249</v>
      </c>
      <c r="F2078" s="76" t="s">
        <v>57</v>
      </c>
      <c r="G2078" s="52">
        <v>-3.71</v>
      </c>
      <c r="H2078" s="32" t="s">
        <v>3044</v>
      </c>
    </row>
    <row r="2079" spans="1:9" ht="18.75">
      <c r="A2079" t="s">
        <v>3045</v>
      </c>
      <c r="B2079">
        <v>9</v>
      </c>
      <c r="C2079">
        <v>2025</v>
      </c>
      <c r="D2079" s="54">
        <v>45926</v>
      </c>
      <c r="E2079" s="121" t="s">
        <v>249</v>
      </c>
      <c r="F2079" s="76" t="s">
        <v>35</v>
      </c>
      <c r="G2079" s="52">
        <v>-62.13</v>
      </c>
      <c r="H2079" s="32" t="s">
        <v>2907</v>
      </c>
    </row>
    <row r="2080" spans="1:9" ht="18.75">
      <c r="A2080" t="s">
        <v>3046</v>
      </c>
      <c r="B2080">
        <v>9</v>
      </c>
      <c r="C2080">
        <v>2025</v>
      </c>
      <c r="D2080" s="54">
        <v>45926</v>
      </c>
      <c r="E2080" s="121" t="s">
        <v>249</v>
      </c>
      <c r="F2080" s="76" t="s">
        <v>59</v>
      </c>
      <c r="G2080" s="52">
        <v>-27.65</v>
      </c>
      <c r="H2080" s="32" t="s">
        <v>1989</v>
      </c>
    </row>
    <row r="2081" spans="1:8" ht="18.75">
      <c r="A2081" t="s">
        <v>3047</v>
      </c>
      <c r="B2081">
        <v>9</v>
      </c>
      <c r="C2081">
        <v>2025</v>
      </c>
      <c r="D2081" s="54">
        <v>45927</v>
      </c>
      <c r="E2081" s="121" t="s">
        <v>249</v>
      </c>
      <c r="F2081" s="76" t="s">
        <v>53</v>
      </c>
      <c r="G2081" s="52">
        <v>-4.8499999999999996</v>
      </c>
      <c r="H2081" s="32" t="s">
        <v>601</v>
      </c>
    </row>
    <row r="2082" spans="1:8" ht="18.75">
      <c r="A2082" t="s">
        <v>3048</v>
      </c>
      <c r="B2082">
        <v>9</v>
      </c>
      <c r="C2082">
        <v>2025</v>
      </c>
      <c r="D2082" s="54">
        <v>45927</v>
      </c>
      <c r="E2082" s="121" t="s">
        <v>249</v>
      </c>
      <c r="F2082" s="76" t="s">
        <v>59</v>
      </c>
      <c r="G2082" s="52">
        <v>-16.71</v>
      </c>
      <c r="H2082" s="32" t="s">
        <v>2769</v>
      </c>
    </row>
    <row r="2083" spans="1:8" ht="18.75">
      <c r="A2083" t="s">
        <v>3049</v>
      </c>
      <c r="B2083">
        <v>9</v>
      </c>
      <c r="C2083">
        <v>2025</v>
      </c>
      <c r="D2083" s="54">
        <v>45928</v>
      </c>
      <c r="E2083" s="121" t="s">
        <v>249</v>
      </c>
      <c r="F2083" s="76" t="s">
        <v>57</v>
      </c>
      <c r="G2083" s="52">
        <v>-169.8</v>
      </c>
      <c r="H2083" s="32" t="s">
        <v>351</v>
      </c>
    </row>
    <row r="2084" spans="1:8" ht="18.75">
      <c r="A2084" t="s">
        <v>3050</v>
      </c>
      <c r="B2084">
        <v>10</v>
      </c>
      <c r="C2084">
        <v>2025</v>
      </c>
      <c r="D2084" s="54">
        <v>45931</v>
      </c>
      <c r="E2084" s="121" t="s">
        <v>160</v>
      </c>
      <c r="F2084" s="76" t="s">
        <v>49</v>
      </c>
      <c r="G2084" s="52">
        <v>-50</v>
      </c>
      <c r="H2084" s="32" t="s">
        <v>173</v>
      </c>
    </row>
    <row r="2085" spans="1:8" ht="18.75">
      <c r="A2085" t="s">
        <v>3051</v>
      </c>
      <c r="B2085">
        <v>10</v>
      </c>
      <c r="C2085">
        <v>2025</v>
      </c>
      <c r="D2085" s="54">
        <v>45931</v>
      </c>
      <c r="E2085" s="121" t="s">
        <v>146</v>
      </c>
      <c r="F2085" s="76" t="s">
        <v>79</v>
      </c>
      <c r="G2085" s="52">
        <v>2876.12</v>
      </c>
      <c r="H2085" s="32" t="s">
        <v>3052</v>
      </c>
    </row>
    <row r="2086" spans="1:8" ht="18.75">
      <c r="A2086" t="s">
        <v>3053</v>
      </c>
      <c r="B2086">
        <v>10</v>
      </c>
      <c r="C2086">
        <v>2025</v>
      </c>
      <c r="D2086" s="54">
        <v>45931</v>
      </c>
      <c r="E2086" s="121" t="s">
        <v>146</v>
      </c>
      <c r="F2086" s="76" t="s">
        <v>48</v>
      </c>
      <c r="G2086" s="52">
        <v>4.92</v>
      </c>
      <c r="H2086" s="32" t="s">
        <v>175</v>
      </c>
    </row>
    <row r="2087" spans="1:8" ht="18.75">
      <c r="A2087" t="s">
        <v>3054</v>
      </c>
      <c r="B2087">
        <v>10</v>
      </c>
      <c r="C2087">
        <v>2025</v>
      </c>
      <c r="D2087" s="54">
        <v>45944</v>
      </c>
      <c r="E2087" s="121" t="s">
        <v>160</v>
      </c>
      <c r="F2087" s="76" t="s">
        <v>49</v>
      </c>
      <c r="G2087" s="52">
        <v>-50</v>
      </c>
      <c r="H2087" s="32" t="s">
        <v>161</v>
      </c>
    </row>
    <row r="2088" spans="1:8" ht="18.75">
      <c r="A2088" t="s">
        <v>3055</v>
      </c>
      <c r="B2088">
        <v>10</v>
      </c>
      <c r="C2088">
        <v>2025</v>
      </c>
      <c r="D2088" s="54">
        <v>45931</v>
      </c>
      <c r="E2088" s="121" t="s">
        <v>160</v>
      </c>
      <c r="F2088" s="76" t="s">
        <v>43</v>
      </c>
      <c r="G2088" s="52">
        <v>-9.0299999999999994</v>
      </c>
      <c r="H2088" s="32" t="s">
        <v>163</v>
      </c>
    </row>
    <row r="2089" spans="1:8" ht="18.75">
      <c r="A2089" t="s">
        <v>3056</v>
      </c>
      <c r="B2089">
        <v>10</v>
      </c>
      <c r="C2089">
        <v>2025</v>
      </c>
      <c r="D2089" s="54">
        <v>45931</v>
      </c>
      <c r="E2089" s="121" t="s">
        <v>160</v>
      </c>
      <c r="F2089" s="76" t="s">
        <v>40</v>
      </c>
      <c r="G2089" s="52">
        <v>-100</v>
      </c>
      <c r="H2089" s="32" t="s">
        <v>3057</v>
      </c>
    </row>
    <row r="2090" spans="1:8" ht="18.75">
      <c r="A2090" t="s">
        <v>3058</v>
      </c>
      <c r="B2090">
        <v>10</v>
      </c>
      <c r="C2090">
        <v>2025</v>
      </c>
      <c r="D2090" s="54">
        <v>45931</v>
      </c>
      <c r="E2090" s="121" t="s">
        <v>160</v>
      </c>
      <c r="F2090" s="76" t="s">
        <v>40</v>
      </c>
      <c r="G2090" s="52">
        <v>-200</v>
      </c>
      <c r="H2090" s="32" t="s">
        <v>3059</v>
      </c>
    </row>
    <row r="2091" spans="1:8" ht="18.75">
      <c r="A2091" t="s">
        <v>3060</v>
      </c>
      <c r="B2091">
        <v>10</v>
      </c>
      <c r="C2091">
        <v>2025</v>
      </c>
      <c r="D2091" s="54">
        <v>45931</v>
      </c>
      <c r="E2091" s="121" t="s">
        <v>160</v>
      </c>
      <c r="F2091" s="76" t="s">
        <v>79</v>
      </c>
      <c r="G2091" s="52">
        <v>-2876.12</v>
      </c>
      <c r="H2091" s="32" t="s">
        <v>3061</v>
      </c>
    </row>
    <row r="2092" spans="1:8" ht="18.75">
      <c r="A2092" t="s">
        <v>3062</v>
      </c>
      <c r="B2092">
        <v>10</v>
      </c>
      <c r="C2092">
        <v>2025</v>
      </c>
      <c r="D2092" s="54">
        <v>45932</v>
      </c>
      <c r="E2092" s="121" t="s">
        <v>249</v>
      </c>
      <c r="F2092" s="76" t="s">
        <v>46</v>
      </c>
      <c r="G2092" s="52">
        <v>-40</v>
      </c>
      <c r="H2092" s="32" t="s">
        <v>268</v>
      </c>
    </row>
    <row r="2093" spans="1:8" ht="18.75">
      <c r="A2093" t="s">
        <v>3063</v>
      </c>
      <c r="B2093">
        <v>10</v>
      </c>
      <c r="C2093">
        <v>2025</v>
      </c>
      <c r="D2093" s="54">
        <v>45932</v>
      </c>
      <c r="E2093" s="121" t="s">
        <v>160</v>
      </c>
      <c r="F2093" s="76" t="s">
        <v>40</v>
      </c>
      <c r="G2093" s="52">
        <v>-100</v>
      </c>
      <c r="H2093" s="32" t="s">
        <v>3064</v>
      </c>
    </row>
    <row r="2094" spans="1:8" ht="18.75">
      <c r="A2094" t="s">
        <v>3065</v>
      </c>
      <c r="B2094">
        <v>10</v>
      </c>
      <c r="C2094">
        <v>2025</v>
      </c>
      <c r="D2094" s="54">
        <v>45933</v>
      </c>
      <c r="E2094" s="121" t="s">
        <v>160</v>
      </c>
      <c r="F2094" s="76" t="s">
        <v>33</v>
      </c>
      <c r="G2094" s="52">
        <v>-443.25</v>
      </c>
      <c r="H2094" s="32" t="s">
        <v>3002</v>
      </c>
    </row>
    <row r="2095" spans="1:8" ht="18.75">
      <c r="A2095" t="s">
        <v>3066</v>
      </c>
      <c r="B2095">
        <v>10</v>
      </c>
      <c r="C2095">
        <v>2025</v>
      </c>
      <c r="D2095" s="54">
        <v>45934</v>
      </c>
      <c r="E2095" s="121" t="s">
        <v>249</v>
      </c>
      <c r="F2095" s="76" t="s">
        <v>58</v>
      </c>
      <c r="G2095" s="52">
        <v>-8.01</v>
      </c>
      <c r="H2095" s="32" t="s">
        <v>525</v>
      </c>
    </row>
    <row r="2096" spans="1:8" ht="18.75">
      <c r="A2096" t="s">
        <v>3067</v>
      </c>
      <c r="B2096">
        <v>10</v>
      </c>
      <c r="C2096">
        <v>2025</v>
      </c>
      <c r="D2096" s="54">
        <v>45934</v>
      </c>
      <c r="E2096" s="121" t="s">
        <v>249</v>
      </c>
      <c r="F2096" s="76" t="s">
        <v>57</v>
      </c>
      <c r="G2096" s="52">
        <v>-66.73</v>
      </c>
      <c r="H2096" s="32" t="s">
        <v>351</v>
      </c>
    </row>
    <row r="2097" spans="1:9" ht="18.75">
      <c r="A2097" t="s">
        <v>3068</v>
      </c>
      <c r="B2097">
        <v>10</v>
      </c>
      <c r="C2097">
        <v>2025</v>
      </c>
      <c r="D2097" s="54">
        <v>45934</v>
      </c>
      <c r="E2097" s="121" t="s">
        <v>249</v>
      </c>
      <c r="F2097" s="76" t="s">
        <v>32</v>
      </c>
      <c r="G2097" s="52">
        <v>-47.38</v>
      </c>
      <c r="H2097" s="32" t="s">
        <v>646</v>
      </c>
    </row>
    <row r="2098" spans="1:9" ht="18.75">
      <c r="A2098" t="s">
        <v>3069</v>
      </c>
      <c r="B2098">
        <v>10</v>
      </c>
      <c r="C2098">
        <v>2025</v>
      </c>
      <c r="D2098" s="54">
        <v>45934</v>
      </c>
      <c r="E2098" s="121" t="s">
        <v>249</v>
      </c>
      <c r="F2098" s="76" t="s">
        <v>44</v>
      </c>
      <c r="G2098" s="52">
        <f>-29.38+13</f>
        <v>-16.38</v>
      </c>
      <c r="H2098" s="32" t="s">
        <v>715</v>
      </c>
    </row>
    <row r="2099" spans="1:9" ht="18.75">
      <c r="B2099">
        <v>10</v>
      </c>
      <c r="C2099">
        <v>2025</v>
      </c>
      <c r="D2099" s="54">
        <v>45934</v>
      </c>
      <c r="E2099" s="121" t="s">
        <v>249</v>
      </c>
      <c r="F2099" s="76" t="s">
        <v>58</v>
      </c>
      <c r="G2099" s="52">
        <v>-13</v>
      </c>
      <c r="H2099" s="32" t="s">
        <v>715</v>
      </c>
    </row>
    <row r="2100" spans="1:9" ht="18.75">
      <c r="A2100" t="s">
        <v>3070</v>
      </c>
      <c r="B2100">
        <v>10</v>
      </c>
      <c r="C2100">
        <v>2025</v>
      </c>
      <c r="D2100" s="54">
        <v>45934</v>
      </c>
      <c r="E2100" s="121" t="s">
        <v>249</v>
      </c>
      <c r="F2100" s="76" t="s">
        <v>57</v>
      </c>
      <c r="G2100" s="52">
        <v>-6.99</v>
      </c>
      <c r="H2100" s="32" t="s">
        <v>1172</v>
      </c>
    </row>
    <row r="2101" spans="1:9" ht="18.75">
      <c r="A2101" t="s">
        <v>3071</v>
      </c>
      <c r="B2101">
        <v>10</v>
      </c>
      <c r="C2101">
        <v>2025</v>
      </c>
      <c r="D2101" s="54">
        <v>45935</v>
      </c>
      <c r="E2101" s="121" t="s">
        <v>249</v>
      </c>
      <c r="F2101" s="76" t="s">
        <v>32</v>
      </c>
      <c r="G2101" s="52">
        <v>-93.42</v>
      </c>
      <c r="H2101" s="32" t="s">
        <v>554</v>
      </c>
    </row>
    <row r="2102" spans="1:9" ht="18.75">
      <c r="A2102" t="s">
        <v>3072</v>
      </c>
      <c r="B2102">
        <v>10</v>
      </c>
      <c r="C2102">
        <v>2025</v>
      </c>
      <c r="D2102" s="54">
        <v>45936</v>
      </c>
      <c r="E2102" s="121" t="s">
        <v>160</v>
      </c>
      <c r="F2102" s="76" t="s">
        <v>30</v>
      </c>
      <c r="G2102" s="52">
        <v>-230.75</v>
      </c>
      <c r="H2102" s="32" t="s">
        <v>196</v>
      </c>
    </row>
    <row r="2103" spans="1:9" ht="18.75">
      <c r="A2103" t="s">
        <v>3073</v>
      </c>
      <c r="B2103">
        <v>10</v>
      </c>
      <c r="C2103">
        <v>2025</v>
      </c>
      <c r="D2103" s="54">
        <v>45937</v>
      </c>
      <c r="E2103" s="121" t="s">
        <v>160</v>
      </c>
      <c r="F2103" s="76" t="s">
        <v>79</v>
      </c>
      <c r="G2103" s="52">
        <v>958.66</v>
      </c>
      <c r="H2103" s="32" t="s">
        <v>3074</v>
      </c>
    </row>
    <row r="2104" spans="1:9" ht="18.75">
      <c r="A2104" t="s">
        <v>3075</v>
      </c>
      <c r="B2104">
        <v>10</v>
      </c>
      <c r="C2104">
        <v>2025</v>
      </c>
      <c r="D2104" s="54">
        <v>45937</v>
      </c>
      <c r="E2104" s="121" t="s">
        <v>146</v>
      </c>
      <c r="F2104" s="76" t="s">
        <v>66</v>
      </c>
      <c r="G2104" s="52">
        <v>300</v>
      </c>
      <c r="H2104" s="32" t="s">
        <v>3076</v>
      </c>
      <c r="I2104" s="32" t="s">
        <v>3077</v>
      </c>
    </row>
    <row r="2105" spans="1:9" ht="18.75">
      <c r="A2105" t="s">
        <v>3078</v>
      </c>
      <c r="B2105">
        <v>10</v>
      </c>
      <c r="C2105">
        <v>2025</v>
      </c>
      <c r="D2105" s="54">
        <v>45937</v>
      </c>
      <c r="E2105" s="121" t="s">
        <v>146</v>
      </c>
      <c r="F2105" s="76" t="s">
        <v>66</v>
      </c>
      <c r="G2105" s="52">
        <v>900</v>
      </c>
      <c r="H2105" s="32" t="s">
        <v>3079</v>
      </c>
      <c r="I2105" s="32" t="s">
        <v>3080</v>
      </c>
    </row>
    <row r="2106" spans="1:9" ht="18.75">
      <c r="A2106" t="s">
        <v>3081</v>
      </c>
      <c r="B2106">
        <v>10</v>
      </c>
      <c r="C2106">
        <v>2025</v>
      </c>
      <c r="D2106" s="54">
        <v>45937</v>
      </c>
      <c r="E2106" s="121" t="s">
        <v>146</v>
      </c>
      <c r="F2106" s="76" t="s">
        <v>79</v>
      </c>
      <c r="G2106" s="52">
        <v>-958.66</v>
      </c>
      <c r="H2106" s="32" t="s">
        <v>3082</v>
      </c>
    </row>
    <row r="2107" spans="1:9" ht="18.75">
      <c r="A2107" t="s">
        <v>3083</v>
      </c>
      <c r="B2107">
        <v>10</v>
      </c>
      <c r="C2107">
        <v>2025</v>
      </c>
      <c r="D2107" s="54">
        <v>45937</v>
      </c>
      <c r="E2107" s="121" t="s">
        <v>249</v>
      </c>
      <c r="F2107" s="76" t="s">
        <v>31</v>
      </c>
      <c r="G2107" s="52">
        <v>-225.35</v>
      </c>
      <c r="H2107" s="32" t="s">
        <v>3084</v>
      </c>
    </row>
    <row r="2108" spans="1:9" ht="18.75">
      <c r="A2108" t="s">
        <v>3085</v>
      </c>
      <c r="B2108">
        <v>10</v>
      </c>
      <c r="C2108">
        <v>2025</v>
      </c>
      <c r="D2108" s="54">
        <v>45937</v>
      </c>
      <c r="E2108" s="121" t="s">
        <v>249</v>
      </c>
      <c r="F2108" s="76" t="s">
        <v>53</v>
      </c>
      <c r="G2108" s="52">
        <v>-1014.16</v>
      </c>
      <c r="H2108" s="32" t="s">
        <v>3086</v>
      </c>
    </row>
    <row r="2109" spans="1:9" ht="18.75">
      <c r="A2109" t="s">
        <v>3087</v>
      </c>
      <c r="B2109">
        <v>10</v>
      </c>
      <c r="C2109">
        <v>2025</v>
      </c>
      <c r="D2109" s="54">
        <v>45937</v>
      </c>
      <c r="E2109" s="121" t="s">
        <v>249</v>
      </c>
      <c r="F2109" s="76" t="s">
        <v>42</v>
      </c>
      <c r="G2109" s="52">
        <v>-25.98</v>
      </c>
      <c r="H2109" s="32" t="s">
        <v>1833</v>
      </c>
    </row>
    <row r="2110" spans="1:9" ht="18.75">
      <c r="A2110" t="s">
        <v>3088</v>
      </c>
      <c r="B2110">
        <v>10</v>
      </c>
      <c r="C2110">
        <v>2025</v>
      </c>
      <c r="D2110" s="54">
        <v>45938</v>
      </c>
      <c r="E2110" s="121" t="s">
        <v>160</v>
      </c>
      <c r="F2110" s="76" t="s">
        <v>79</v>
      </c>
      <c r="G2110" s="52">
        <v>2498.08</v>
      </c>
      <c r="H2110" s="32" t="s">
        <v>1655</v>
      </c>
    </row>
    <row r="2111" spans="1:9" ht="18.75">
      <c r="A2111" t="s">
        <v>3089</v>
      </c>
      <c r="B2111">
        <v>10</v>
      </c>
      <c r="C2111">
        <v>2025</v>
      </c>
      <c r="D2111" s="54">
        <v>45938</v>
      </c>
      <c r="E2111" s="121" t="s">
        <v>160</v>
      </c>
      <c r="F2111" s="76" t="s">
        <v>51</v>
      </c>
      <c r="G2111" s="52">
        <v>-125.87</v>
      </c>
      <c r="H2111" s="32" t="s">
        <v>199</v>
      </c>
    </row>
    <row r="2112" spans="1:9" ht="18.75">
      <c r="A2112" t="s">
        <v>3090</v>
      </c>
      <c r="B2112">
        <v>10</v>
      </c>
      <c r="C2112">
        <v>2025</v>
      </c>
      <c r="D2112" s="54">
        <v>45938</v>
      </c>
      <c r="E2112" s="121" t="s">
        <v>249</v>
      </c>
      <c r="F2112" s="76" t="s">
        <v>53</v>
      </c>
      <c r="G2112" s="52">
        <v>-27.11</v>
      </c>
      <c r="H2112" s="32" t="s">
        <v>3091</v>
      </c>
    </row>
    <row r="2113" spans="1:8" ht="18.75">
      <c r="A2113" t="s">
        <v>3092</v>
      </c>
      <c r="B2113">
        <v>10</v>
      </c>
      <c r="C2113">
        <v>2025</v>
      </c>
      <c r="D2113" s="54">
        <v>45938</v>
      </c>
      <c r="E2113" s="121" t="s">
        <v>249</v>
      </c>
      <c r="F2113" s="76" t="s">
        <v>58</v>
      </c>
      <c r="G2113" s="52">
        <v>-38.57</v>
      </c>
      <c r="H2113" s="32" t="s">
        <v>3093</v>
      </c>
    </row>
    <row r="2114" spans="1:8" ht="18.75">
      <c r="A2114" t="s">
        <v>3094</v>
      </c>
      <c r="B2114">
        <v>10</v>
      </c>
      <c r="C2114">
        <v>2025</v>
      </c>
      <c r="D2114" s="54">
        <v>45938</v>
      </c>
      <c r="E2114" s="121" t="s">
        <v>249</v>
      </c>
      <c r="F2114" s="76" t="s">
        <v>57</v>
      </c>
      <c r="G2114" s="52">
        <v>-11.15</v>
      </c>
      <c r="H2114" s="32" t="s">
        <v>1219</v>
      </c>
    </row>
    <row r="2115" spans="1:8" ht="18.75">
      <c r="A2115" t="s">
        <v>3095</v>
      </c>
      <c r="B2115">
        <v>10</v>
      </c>
      <c r="C2115">
        <v>2025</v>
      </c>
      <c r="D2115" s="54">
        <v>45939</v>
      </c>
      <c r="E2115" s="121" t="s">
        <v>160</v>
      </c>
      <c r="F2115" s="76" t="s">
        <v>79</v>
      </c>
      <c r="G2115" s="52">
        <v>1327.81</v>
      </c>
      <c r="H2115" s="32" t="s">
        <v>190</v>
      </c>
    </row>
    <row r="2116" spans="1:8" ht="18.75">
      <c r="A2116" t="s">
        <v>3096</v>
      </c>
      <c r="B2116">
        <v>10</v>
      </c>
      <c r="C2116">
        <v>2025</v>
      </c>
      <c r="D2116" s="54">
        <v>45939</v>
      </c>
      <c r="E2116" s="121" t="s">
        <v>249</v>
      </c>
      <c r="F2116" s="76" t="s">
        <v>50</v>
      </c>
      <c r="G2116" s="52">
        <v>-21.9</v>
      </c>
      <c r="H2116" s="32" t="s">
        <v>727</v>
      </c>
    </row>
    <row r="2117" spans="1:8" ht="18.75">
      <c r="A2117" t="s">
        <v>3097</v>
      </c>
      <c r="B2117">
        <v>10</v>
      </c>
      <c r="C2117">
        <v>2025</v>
      </c>
      <c r="D2117" s="54">
        <v>45939</v>
      </c>
      <c r="E2117" s="121" t="s">
        <v>249</v>
      </c>
      <c r="F2117" s="76" t="s">
        <v>59</v>
      </c>
      <c r="G2117" s="52">
        <v>-9.36</v>
      </c>
      <c r="H2117" s="32" t="s">
        <v>3098</v>
      </c>
    </row>
    <row r="2118" spans="1:8" ht="18.75">
      <c r="A2118" t="s">
        <v>3099</v>
      </c>
      <c r="B2118">
        <v>10</v>
      </c>
      <c r="C2118">
        <v>2025</v>
      </c>
      <c r="D2118" s="54">
        <v>45940</v>
      </c>
      <c r="E2118" s="121" t="s">
        <v>249</v>
      </c>
      <c r="F2118" s="76" t="s">
        <v>45</v>
      </c>
      <c r="G2118" s="52">
        <v>-27.11</v>
      </c>
      <c r="H2118" s="32" t="s">
        <v>1277</v>
      </c>
    </row>
    <row r="2119" spans="1:8" ht="18.75">
      <c r="A2119" t="s">
        <v>3100</v>
      </c>
      <c r="B2119">
        <v>10</v>
      </c>
      <c r="C2119">
        <v>2025</v>
      </c>
      <c r="D2119" s="54">
        <v>45941</v>
      </c>
      <c r="E2119" s="121" t="s">
        <v>249</v>
      </c>
      <c r="F2119" s="76" t="s">
        <v>57</v>
      </c>
      <c r="G2119" s="52">
        <v>-21.48</v>
      </c>
      <c r="H2119" s="32" t="s">
        <v>351</v>
      </c>
    </row>
    <row r="2120" spans="1:8" ht="18.75">
      <c r="A2120" t="s">
        <v>3101</v>
      </c>
      <c r="B2120">
        <v>10</v>
      </c>
      <c r="C2120">
        <v>2025</v>
      </c>
      <c r="D2120" s="54">
        <v>45941</v>
      </c>
      <c r="E2120" s="121" t="s">
        <v>249</v>
      </c>
      <c r="F2120" s="76" t="s">
        <v>57</v>
      </c>
      <c r="G2120" s="52">
        <v>-62.02</v>
      </c>
      <c r="H2120" s="32" t="s">
        <v>282</v>
      </c>
    </row>
    <row r="2121" spans="1:8" ht="18.75">
      <c r="A2121" t="s">
        <v>3102</v>
      </c>
      <c r="B2121">
        <v>10</v>
      </c>
      <c r="C2121">
        <v>2025</v>
      </c>
      <c r="D2121" s="54">
        <v>45942</v>
      </c>
      <c r="E2121" s="121" t="s">
        <v>249</v>
      </c>
      <c r="F2121" s="76" t="s">
        <v>57</v>
      </c>
      <c r="G2121" s="52">
        <v>-7.99</v>
      </c>
      <c r="H2121" s="32" t="s">
        <v>351</v>
      </c>
    </row>
    <row r="2122" spans="1:8" ht="18.75">
      <c r="A2122" t="s">
        <v>3103</v>
      </c>
      <c r="B2122">
        <v>10</v>
      </c>
      <c r="C2122">
        <v>2025</v>
      </c>
      <c r="D2122" s="54">
        <v>45942</v>
      </c>
      <c r="E2122" s="121" t="s">
        <v>249</v>
      </c>
      <c r="F2122" s="76" t="s">
        <v>50</v>
      </c>
      <c r="G2122" s="52">
        <v>-46.86</v>
      </c>
      <c r="H2122" s="32" t="s">
        <v>724</v>
      </c>
    </row>
    <row r="2123" spans="1:8" ht="18.75">
      <c r="A2123" t="s">
        <v>3104</v>
      </c>
      <c r="B2123">
        <v>10</v>
      </c>
      <c r="C2123">
        <v>2025</v>
      </c>
      <c r="D2123" s="54">
        <v>45943</v>
      </c>
      <c r="E2123" s="121" t="s">
        <v>249</v>
      </c>
      <c r="F2123" s="76" t="s">
        <v>54</v>
      </c>
      <c r="G2123" s="52">
        <v>-9.58</v>
      </c>
      <c r="H2123" s="32" t="s">
        <v>312</v>
      </c>
    </row>
    <row r="2124" spans="1:8" ht="18.75">
      <c r="A2124" t="s">
        <v>3105</v>
      </c>
      <c r="B2124">
        <v>10</v>
      </c>
      <c r="C2124">
        <v>2025</v>
      </c>
      <c r="D2124" s="54">
        <v>45944</v>
      </c>
      <c r="E2124" s="121" t="s">
        <v>160</v>
      </c>
      <c r="F2124" s="76" t="s">
        <v>43</v>
      </c>
      <c r="G2124" s="52">
        <v>-9.0299999999999994</v>
      </c>
      <c r="H2124" s="32" t="s">
        <v>163</v>
      </c>
    </row>
    <row r="2125" spans="1:8" ht="18.75">
      <c r="A2125" t="s">
        <v>3106</v>
      </c>
      <c r="B2125">
        <v>10</v>
      </c>
      <c r="C2125">
        <v>2025</v>
      </c>
      <c r="D2125" s="54">
        <v>45957</v>
      </c>
      <c r="E2125" s="121" t="s">
        <v>160</v>
      </c>
      <c r="F2125" s="76" t="s">
        <v>49</v>
      </c>
      <c r="G2125" s="52">
        <v>-50</v>
      </c>
      <c r="H2125" s="32" t="s">
        <v>161</v>
      </c>
    </row>
    <row r="2126" spans="1:8" ht="18.75">
      <c r="A2126" t="s">
        <v>3107</v>
      </c>
      <c r="B2126">
        <v>10</v>
      </c>
      <c r="C2126">
        <v>2025</v>
      </c>
      <c r="D2126" s="54">
        <v>45944</v>
      </c>
      <c r="E2126" s="121" t="s">
        <v>160</v>
      </c>
      <c r="F2126" s="76" t="s">
        <v>36</v>
      </c>
      <c r="G2126" s="52">
        <v>-70.17</v>
      </c>
      <c r="H2126" s="32" t="s">
        <v>3108</v>
      </c>
    </row>
    <row r="2127" spans="1:8" ht="18.75">
      <c r="A2127" t="s">
        <v>3109</v>
      </c>
      <c r="B2127">
        <v>10</v>
      </c>
      <c r="C2127">
        <v>2025</v>
      </c>
      <c r="D2127" s="54">
        <v>45945</v>
      </c>
      <c r="E2127" s="121" t="s">
        <v>160</v>
      </c>
      <c r="F2127" s="76" t="s">
        <v>51</v>
      </c>
      <c r="G2127" s="52">
        <v>-125.57</v>
      </c>
      <c r="H2127" s="32" t="s">
        <v>210</v>
      </c>
    </row>
    <row r="2128" spans="1:8" ht="18.75">
      <c r="A2128" t="s">
        <v>3110</v>
      </c>
      <c r="B2128">
        <v>10</v>
      </c>
      <c r="C2128">
        <v>2025</v>
      </c>
      <c r="D2128" s="54">
        <v>45945</v>
      </c>
      <c r="E2128" s="121" t="s">
        <v>160</v>
      </c>
      <c r="F2128" s="76" t="s">
        <v>64</v>
      </c>
      <c r="G2128" s="52">
        <v>-302</v>
      </c>
      <c r="H2128" s="32" t="s">
        <v>208</v>
      </c>
    </row>
    <row r="2129" spans="1:8" ht="18.75">
      <c r="A2129" t="s">
        <v>3111</v>
      </c>
      <c r="B2129">
        <v>10</v>
      </c>
      <c r="C2129">
        <v>2025</v>
      </c>
      <c r="D2129" s="54">
        <v>45945</v>
      </c>
      <c r="E2129" s="121" t="s">
        <v>249</v>
      </c>
      <c r="F2129" s="76" t="s">
        <v>57</v>
      </c>
      <c r="G2129" s="52">
        <v>-3.69</v>
      </c>
      <c r="H2129" s="32" t="s">
        <v>351</v>
      </c>
    </row>
    <row r="2130" spans="1:8" ht="18.75">
      <c r="A2130" t="s">
        <v>3112</v>
      </c>
      <c r="B2130">
        <v>10</v>
      </c>
      <c r="C2130">
        <v>2025</v>
      </c>
      <c r="D2130" s="54">
        <v>45946</v>
      </c>
      <c r="E2130" s="121" t="s">
        <v>160</v>
      </c>
      <c r="F2130" s="76" t="s">
        <v>39</v>
      </c>
      <c r="G2130" s="52">
        <v>-125.43</v>
      </c>
      <c r="H2130" s="32" t="s">
        <v>2990</v>
      </c>
    </row>
    <row r="2131" spans="1:8" ht="18.75">
      <c r="A2131" t="s">
        <v>3113</v>
      </c>
      <c r="B2131">
        <v>10</v>
      </c>
      <c r="C2131">
        <v>2025</v>
      </c>
      <c r="D2131" s="54">
        <v>45947</v>
      </c>
      <c r="E2131" s="121" t="s">
        <v>160</v>
      </c>
      <c r="F2131" s="76" t="s">
        <v>33</v>
      </c>
      <c r="G2131" s="52">
        <v>-443.25</v>
      </c>
      <c r="H2131" s="32" t="s">
        <v>3002</v>
      </c>
    </row>
    <row r="2132" spans="1:8" ht="18.75">
      <c r="A2132" t="s">
        <v>3114</v>
      </c>
      <c r="B2132">
        <v>10</v>
      </c>
      <c r="C2132">
        <v>2025</v>
      </c>
      <c r="D2132" s="54">
        <v>45947</v>
      </c>
      <c r="E2132" s="121" t="s">
        <v>249</v>
      </c>
      <c r="F2132" s="76" t="s">
        <v>79</v>
      </c>
      <c r="G2132" s="52">
        <v>862.54</v>
      </c>
      <c r="H2132" s="32" t="s">
        <v>1755</v>
      </c>
    </row>
    <row r="2133" spans="1:8" ht="18.75">
      <c r="A2133" t="s">
        <v>3115</v>
      </c>
      <c r="B2133">
        <v>10</v>
      </c>
      <c r="C2133">
        <v>2025</v>
      </c>
      <c r="D2133" s="54">
        <v>45947</v>
      </c>
      <c r="E2133" s="121" t="s">
        <v>249</v>
      </c>
      <c r="F2133" s="76" t="s">
        <v>32</v>
      </c>
      <c r="G2133" s="52">
        <v>-46.33</v>
      </c>
      <c r="H2133" s="32" t="s">
        <v>3116</v>
      </c>
    </row>
    <row r="2134" spans="1:8" ht="18.75">
      <c r="A2134" t="s">
        <v>3117</v>
      </c>
      <c r="B2134">
        <v>10</v>
      </c>
      <c r="C2134">
        <v>2025</v>
      </c>
      <c r="D2134" s="54">
        <v>45947</v>
      </c>
      <c r="E2134" s="121" t="s">
        <v>249</v>
      </c>
      <c r="F2134" s="76" t="s">
        <v>31</v>
      </c>
      <c r="G2134" s="52">
        <v>-4.5999999999999996</v>
      </c>
      <c r="H2134" s="32" t="s">
        <v>1635</v>
      </c>
    </row>
    <row r="2135" spans="1:8" ht="18.75">
      <c r="A2135" t="s">
        <v>3118</v>
      </c>
      <c r="B2135">
        <v>10</v>
      </c>
      <c r="C2135">
        <v>2025</v>
      </c>
      <c r="D2135" s="54">
        <v>45947</v>
      </c>
      <c r="E2135" s="121" t="s">
        <v>249</v>
      </c>
      <c r="F2135" s="76" t="s">
        <v>32</v>
      </c>
      <c r="G2135" s="52">
        <v>-46.04</v>
      </c>
      <c r="H2135" s="32" t="s">
        <v>1898</v>
      </c>
    </row>
    <row r="2136" spans="1:8" ht="18.75">
      <c r="A2136" t="s">
        <v>3119</v>
      </c>
      <c r="B2136">
        <v>10</v>
      </c>
      <c r="C2136">
        <v>2025</v>
      </c>
      <c r="D2136" s="54">
        <v>45947</v>
      </c>
      <c r="E2136" s="121" t="s">
        <v>249</v>
      </c>
      <c r="F2136" s="76" t="s">
        <v>31</v>
      </c>
      <c r="G2136" s="52">
        <v>-29.08</v>
      </c>
      <c r="H2136" s="32" t="s">
        <v>3120</v>
      </c>
    </row>
    <row r="2137" spans="1:8" ht="18.75">
      <c r="A2137" t="s">
        <v>3121</v>
      </c>
      <c r="B2137">
        <v>10</v>
      </c>
      <c r="C2137">
        <v>2025</v>
      </c>
      <c r="D2137" s="54">
        <v>45947</v>
      </c>
      <c r="E2137" s="121" t="s">
        <v>249</v>
      </c>
      <c r="F2137" s="76" t="s">
        <v>31</v>
      </c>
      <c r="G2137" s="52">
        <v>-22.66</v>
      </c>
      <c r="H2137" s="32" t="s">
        <v>3122</v>
      </c>
    </row>
    <row r="2138" spans="1:8" ht="18.75">
      <c r="A2138" t="s">
        <v>3123</v>
      </c>
      <c r="B2138">
        <v>10</v>
      </c>
      <c r="C2138">
        <v>2025</v>
      </c>
      <c r="D2138" s="54">
        <v>45948</v>
      </c>
      <c r="E2138" s="121" t="s">
        <v>249</v>
      </c>
      <c r="F2138" s="76" t="s">
        <v>31</v>
      </c>
      <c r="G2138" s="52">
        <v>-115.65</v>
      </c>
      <c r="H2138" s="32" t="s">
        <v>3124</v>
      </c>
    </row>
    <row r="2139" spans="1:8" ht="18.75">
      <c r="A2139" t="s">
        <v>3125</v>
      </c>
      <c r="B2139">
        <v>10</v>
      </c>
      <c r="C2139">
        <v>2025</v>
      </c>
      <c r="D2139" s="54">
        <v>45948</v>
      </c>
      <c r="E2139" s="121" t="s">
        <v>249</v>
      </c>
      <c r="F2139" s="76" t="s">
        <v>32</v>
      </c>
      <c r="G2139" s="52">
        <v>-38.549999999999997</v>
      </c>
      <c r="H2139" s="32" t="s">
        <v>3126</v>
      </c>
    </row>
    <row r="2140" spans="1:8" ht="18.75">
      <c r="A2140" t="s">
        <v>3127</v>
      </c>
      <c r="B2140">
        <v>10</v>
      </c>
      <c r="C2140">
        <v>2025</v>
      </c>
      <c r="D2140" s="54">
        <v>45948</v>
      </c>
      <c r="E2140" s="121" t="s">
        <v>249</v>
      </c>
      <c r="F2140" s="76" t="s">
        <v>31</v>
      </c>
      <c r="G2140" s="52">
        <v>-5.69</v>
      </c>
      <c r="H2140" s="32" t="s">
        <v>3126</v>
      </c>
    </row>
    <row r="2141" spans="1:8" ht="18.75">
      <c r="A2141" t="s">
        <v>3128</v>
      </c>
      <c r="B2141">
        <v>10</v>
      </c>
      <c r="C2141">
        <v>2025</v>
      </c>
      <c r="D2141" s="54">
        <v>45948</v>
      </c>
      <c r="E2141" s="121" t="s">
        <v>249</v>
      </c>
      <c r="F2141" s="76" t="s">
        <v>31</v>
      </c>
      <c r="G2141" s="52">
        <v>-8.02</v>
      </c>
      <c r="H2141" s="32" t="s">
        <v>3129</v>
      </c>
    </row>
    <row r="2142" spans="1:8" ht="18.75">
      <c r="A2142" t="s">
        <v>3130</v>
      </c>
      <c r="B2142">
        <v>10</v>
      </c>
      <c r="C2142">
        <v>2025</v>
      </c>
      <c r="D2142" s="54">
        <v>45948</v>
      </c>
      <c r="E2142" s="121" t="s">
        <v>249</v>
      </c>
      <c r="F2142" s="76" t="s">
        <v>31</v>
      </c>
      <c r="G2142" s="52">
        <v>-14.15</v>
      </c>
      <c r="H2142" s="32" t="s">
        <v>3131</v>
      </c>
    </row>
    <row r="2143" spans="1:8" ht="18.75">
      <c r="A2143" t="s">
        <v>3132</v>
      </c>
      <c r="B2143">
        <v>10</v>
      </c>
      <c r="C2143">
        <v>2025</v>
      </c>
      <c r="D2143" s="54">
        <v>45949</v>
      </c>
      <c r="E2143" s="121" t="s">
        <v>249</v>
      </c>
      <c r="F2143" s="76" t="s">
        <v>31</v>
      </c>
      <c r="G2143" s="52">
        <v>-71.33</v>
      </c>
      <c r="H2143" s="32" t="s">
        <v>3133</v>
      </c>
    </row>
    <row r="2144" spans="1:8" ht="18.75">
      <c r="A2144" t="s">
        <v>3134</v>
      </c>
      <c r="B2144">
        <v>10</v>
      </c>
      <c r="C2144">
        <v>2025</v>
      </c>
      <c r="D2144" s="54">
        <v>45949</v>
      </c>
      <c r="E2144" s="121" t="s">
        <v>249</v>
      </c>
      <c r="F2144" s="76" t="s">
        <v>31</v>
      </c>
      <c r="G2144" s="52">
        <v>-20.079999999999998</v>
      </c>
      <c r="H2144" s="32" t="s">
        <v>3135</v>
      </c>
    </row>
    <row r="2145" spans="1:8" ht="18.75">
      <c r="A2145" t="s">
        <v>3136</v>
      </c>
      <c r="B2145">
        <v>10</v>
      </c>
      <c r="C2145">
        <v>2025</v>
      </c>
      <c r="D2145" s="54">
        <v>45949</v>
      </c>
      <c r="E2145" s="121" t="s">
        <v>249</v>
      </c>
      <c r="F2145" s="76" t="s">
        <v>31</v>
      </c>
      <c r="G2145" s="52">
        <v>-38.799999999999997</v>
      </c>
      <c r="H2145" s="32" t="s">
        <v>3137</v>
      </c>
    </row>
    <row r="2146" spans="1:8" ht="18.75">
      <c r="A2146" t="s">
        <v>3138</v>
      </c>
      <c r="B2146">
        <v>10</v>
      </c>
      <c r="C2146">
        <v>2025</v>
      </c>
      <c r="D2146" s="54">
        <v>45950</v>
      </c>
      <c r="E2146" s="121" t="s">
        <v>160</v>
      </c>
      <c r="F2146" s="76" t="s">
        <v>79</v>
      </c>
      <c r="G2146" s="52">
        <v>-862.54</v>
      </c>
      <c r="H2146" s="32" t="s">
        <v>214</v>
      </c>
    </row>
    <row r="2147" spans="1:8" ht="18.75">
      <c r="A2147" t="s">
        <v>3139</v>
      </c>
      <c r="B2147">
        <v>10</v>
      </c>
      <c r="C2147">
        <v>2025</v>
      </c>
      <c r="D2147" s="54">
        <v>45950</v>
      </c>
      <c r="E2147" s="121" t="s">
        <v>160</v>
      </c>
      <c r="F2147" s="76" t="s">
        <v>60</v>
      </c>
      <c r="G2147" s="52">
        <v>-78</v>
      </c>
      <c r="H2147" s="32" t="s">
        <v>212</v>
      </c>
    </row>
    <row r="2148" spans="1:8" ht="18.75">
      <c r="A2148" t="s">
        <v>3140</v>
      </c>
      <c r="B2148">
        <v>10</v>
      </c>
      <c r="C2148">
        <v>2025</v>
      </c>
      <c r="D2148" s="54">
        <v>45950</v>
      </c>
      <c r="E2148" s="121" t="s">
        <v>249</v>
      </c>
      <c r="F2148" s="76" t="s">
        <v>31</v>
      </c>
      <c r="G2148" s="52">
        <v>-56.97</v>
      </c>
      <c r="H2148" s="32" t="s">
        <v>3141</v>
      </c>
    </row>
    <row r="2149" spans="1:8" ht="18.75">
      <c r="A2149" t="s">
        <v>3142</v>
      </c>
      <c r="B2149">
        <v>10</v>
      </c>
      <c r="C2149">
        <v>2025</v>
      </c>
      <c r="D2149" s="54">
        <v>45950</v>
      </c>
      <c r="E2149" s="121" t="s">
        <v>249</v>
      </c>
      <c r="F2149" s="76" t="s">
        <v>31</v>
      </c>
      <c r="G2149" s="52">
        <v>-18.989999999999998</v>
      </c>
      <c r="H2149" s="32" t="s">
        <v>3143</v>
      </c>
    </row>
    <row r="2150" spans="1:8" ht="18.75">
      <c r="A2150" t="s">
        <v>3144</v>
      </c>
      <c r="B2150">
        <v>10</v>
      </c>
      <c r="C2150">
        <v>2025</v>
      </c>
      <c r="D2150" s="54">
        <v>45951</v>
      </c>
      <c r="E2150" s="121" t="s">
        <v>249</v>
      </c>
      <c r="F2150" s="76" t="s">
        <v>32</v>
      </c>
      <c r="G2150" s="52">
        <v>-51.09</v>
      </c>
      <c r="H2150" s="32" t="s">
        <v>3145</v>
      </c>
    </row>
    <row r="2151" spans="1:8" ht="18.75">
      <c r="A2151" t="s">
        <v>3146</v>
      </c>
      <c r="B2151">
        <v>10</v>
      </c>
      <c r="C2151">
        <v>2025</v>
      </c>
      <c r="D2151" s="54">
        <v>45951</v>
      </c>
      <c r="E2151" s="121" t="s">
        <v>249</v>
      </c>
      <c r="F2151" s="76" t="s">
        <v>31</v>
      </c>
      <c r="G2151" s="52">
        <v>-31.49</v>
      </c>
      <c r="H2151" s="32" t="s">
        <v>3147</v>
      </c>
    </row>
    <row r="2152" spans="1:8" ht="18.75">
      <c r="A2152" t="s">
        <v>3148</v>
      </c>
      <c r="B2152">
        <v>10</v>
      </c>
      <c r="C2152">
        <v>2025</v>
      </c>
      <c r="D2152" s="54">
        <v>45951</v>
      </c>
      <c r="E2152" s="121" t="s">
        <v>249</v>
      </c>
      <c r="F2152" s="76" t="s">
        <v>31</v>
      </c>
      <c r="G2152" s="52">
        <v>-7.56</v>
      </c>
      <c r="H2152" s="32" t="s">
        <v>3149</v>
      </c>
    </row>
    <row r="2153" spans="1:8" ht="18.75">
      <c r="A2153" t="s">
        <v>3150</v>
      </c>
      <c r="B2153">
        <v>10</v>
      </c>
      <c r="C2153">
        <v>2025</v>
      </c>
      <c r="D2153" s="54">
        <v>45951</v>
      </c>
      <c r="E2153" s="121" t="s">
        <v>249</v>
      </c>
      <c r="F2153" s="76" t="s">
        <v>31</v>
      </c>
      <c r="G2153" s="52">
        <v>-2</v>
      </c>
      <c r="H2153" s="32" t="s">
        <v>3151</v>
      </c>
    </row>
    <row r="2154" spans="1:8" ht="18.75">
      <c r="A2154" t="s">
        <v>3152</v>
      </c>
      <c r="B2154">
        <v>10</v>
      </c>
      <c r="C2154">
        <v>2025</v>
      </c>
      <c r="D2154" s="54">
        <v>45951</v>
      </c>
      <c r="E2154" s="121" t="s">
        <v>249</v>
      </c>
      <c r="F2154" s="76" t="s">
        <v>31</v>
      </c>
      <c r="G2154" s="52">
        <v>-8.3699999999999992</v>
      </c>
      <c r="H2154" s="32" t="s">
        <v>3129</v>
      </c>
    </row>
    <row r="2155" spans="1:8" ht="18.75">
      <c r="A2155" t="s">
        <v>3153</v>
      </c>
      <c r="B2155">
        <v>10</v>
      </c>
      <c r="C2155">
        <v>2025</v>
      </c>
      <c r="D2155" s="54">
        <v>45951</v>
      </c>
      <c r="E2155" s="121" t="s">
        <v>249</v>
      </c>
      <c r="F2155" s="76" t="s">
        <v>31</v>
      </c>
      <c r="G2155" s="52">
        <v>-124.75</v>
      </c>
      <c r="H2155" s="32" t="s">
        <v>3154</v>
      </c>
    </row>
    <row r="2156" spans="1:8" ht="18.75">
      <c r="A2156" t="s">
        <v>3155</v>
      </c>
      <c r="B2156">
        <v>10</v>
      </c>
      <c r="C2156">
        <v>2025</v>
      </c>
      <c r="D2156" s="54">
        <v>45952</v>
      </c>
      <c r="E2156" s="121" t="s">
        <v>160</v>
      </c>
      <c r="F2156" s="76" t="s">
        <v>79</v>
      </c>
      <c r="G2156" s="52">
        <v>2571.6799999999998</v>
      </c>
      <c r="H2156" s="32" t="s">
        <v>1655</v>
      </c>
    </row>
    <row r="2157" spans="1:8" ht="18.75">
      <c r="A2157" t="s">
        <v>3156</v>
      </c>
      <c r="B2157">
        <v>10</v>
      </c>
      <c r="C2157">
        <v>2025</v>
      </c>
      <c r="D2157" s="54">
        <v>45952</v>
      </c>
      <c r="E2157" s="121" t="s">
        <v>160</v>
      </c>
      <c r="F2157" s="76" t="s">
        <v>63</v>
      </c>
      <c r="G2157" s="52">
        <v>-98.68</v>
      </c>
      <c r="H2157" s="32" t="s">
        <v>224</v>
      </c>
    </row>
    <row r="2158" spans="1:8" ht="18.75">
      <c r="A2158" t="s">
        <v>3157</v>
      </c>
      <c r="B2158">
        <v>10</v>
      </c>
      <c r="C2158">
        <v>2025</v>
      </c>
      <c r="D2158" s="54">
        <v>45952</v>
      </c>
      <c r="E2158" s="121" t="s">
        <v>249</v>
      </c>
      <c r="F2158" s="76" t="s">
        <v>31</v>
      </c>
      <c r="G2158" s="52">
        <v>-64.38</v>
      </c>
      <c r="H2158" s="32" t="s">
        <v>3158</v>
      </c>
    </row>
    <row r="2159" spans="1:8" ht="18.75">
      <c r="A2159" t="s">
        <v>3159</v>
      </c>
      <c r="B2159">
        <v>10</v>
      </c>
      <c r="C2159">
        <v>2025</v>
      </c>
      <c r="D2159" s="54">
        <v>45952</v>
      </c>
      <c r="E2159" s="121" t="s">
        <v>249</v>
      </c>
      <c r="F2159" s="76" t="s">
        <v>31</v>
      </c>
      <c r="G2159" s="52">
        <v>-41.68</v>
      </c>
      <c r="H2159" s="32" t="s">
        <v>3160</v>
      </c>
    </row>
    <row r="2160" spans="1:8" ht="18.75">
      <c r="A2160" t="s">
        <v>3161</v>
      </c>
      <c r="B2160">
        <v>10</v>
      </c>
      <c r="C2160">
        <v>2025</v>
      </c>
      <c r="D2160" s="54">
        <v>45952</v>
      </c>
      <c r="E2160" s="121" t="s">
        <v>249</v>
      </c>
      <c r="F2160" s="76" t="s">
        <v>31</v>
      </c>
      <c r="G2160" s="52">
        <v>-46.85</v>
      </c>
      <c r="H2160" s="32" t="s">
        <v>3162</v>
      </c>
    </row>
    <row r="2161" spans="1:8" ht="18.75">
      <c r="A2161" t="s">
        <v>3163</v>
      </c>
      <c r="B2161">
        <v>10</v>
      </c>
      <c r="C2161">
        <v>2025</v>
      </c>
      <c r="D2161" s="54">
        <v>45952</v>
      </c>
      <c r="E2161" s="121" t="s">
        <v>249</v>
      </c>
      <c r="F2161" s="76" t="s">
        <v>31</v>
      </c>
      <c r="G2161" s="52">
        <v>-7</v>
      </c>
      <c r="H2161" s="32" t="s">
        <v>3164</v>
      </c>
    </row>
    <row r="2162" spans="1:8" ht="18.75">
      <c r="A2162" t="s">
        <v>3165</v>
      </c>
      <c r="B2162">
        <v>10</v>
      </c>
      <c r="C2162">
        <v>2025</v>
      </c>
      <c r="D2162" s="54">
        <v>45952</v>
      </c>
      <c r="E2162" s="121" t="s">
        <v>249</v>
      </c>
      <c r="F2162" s="76" t="s">
        <v>31</v>
      </c>
      <c r="G2162" s="52">
        <v>-7</v>
      </c>
      <c r="H2162" s="32" t="s">
        <v>3166</v>
      </c>
    </row>
    <row r="2163" spans="1:8" ht="18.75">
      <c r="A2163" t="s">
        <v>3167</v>
      </c>
      <c r="B2163">
        <v>10</v>
      </c>
      <c r="C2163">
        <v>2025</v>
      </c>
      <c r="D2163" s="54">
        <v>45953</v>
      </c>
      <c r="E2163" s="121" t="s">
        <v>160</v>
      </c>
      <c r="F2163" s="76" t="s">
        <v>79</v>
      </c>
      <c r="G2163" s="52">
        <v>1327.81</v>
      </c>
      <c r="H2163" s="32" t="s">
        <v>190</v>
      </c>
    </row>
    <row r="2164" spans="1:8" ht="18.75">
      <c r="A2164" t="s">
        <v>3168</v>
      </c>
      <c r="B2164">
        <v>10</v>
      </c>
      <c r="C2164">
        <v>2025</v>
      </c>
      <c r="D2164" s="54">
        <v>45953</v>
      </c>
      <c r="E2164" s="121" t="s">
        <v>249</v>
      </c>
      <c r="F2164" s="76" t="s">
        <v>31</v>
      </c>
      <c r="G2164" s="52">
        <v>-35.94</v>
      </c>
      <c r="H2164" s="32" t="s">
        <v>3169</v>
      </c>
    </row>
    <row r="2165" spans="1:8" ht="18.75">
      <c r="A2165" t="s">
        <v>3170</v>
      </c>
      <c r="B2165">
        <v>10</v>
      </c>
      <c r="C2165">
        <v>2025</v>
      </c>
      <c r="D2165" s="54">
        <v>45953</v>
      </c>
      <c r="E2165" s="121" t="s">
        <v>249</v>
      </c>
      <c r="F2165" s="76" t="s">
        <v>31</v>
      </c>
      <c r="G2165" s="52">
        <v>-56</v>
      </c>
      <c r="H2165" s="32" t="s">
        <v>3171</v>
      </c>
    </row>
    <row r="2166" spans="1:8" ht="18.75">
      <c r="A2166" t="s">
        <v>3172</v>
      </c>
      <c r="B2166">
        <v>10</v>
      </c>
      <c r="C2166">
        <v>2025</v>
      </c>
      <c r="D2166" s="54">
        <v>45953</v>
      </c>
      <c r="E2166" s="121" t="s">
        <v>249</v>
      </c>
      <c r="F2166" s="76" t="s">
        <v>31</v>
      </c>
      <c r="G2166" s="52">
        <v>-36.65</v>
      </c>
      <c r="H2166" s="32" t="s">
        <v>3173</v>
      </c>
    </row>
    <row r="2167" spans="1:8" ht="18.75">
      <c r="A2167" t="s">
        <v>3174</v>
      </c>
      <c r="B2167">
        <v>10</v>
      </c>
      <c r="C2167">
        <v>2025</v>
      </c>
      <c r="D2167" s="54">
        <v>45953</v>
      </c>
      <c r="E2167" s="121" t="s">
        <v>249</v>
      </c>
      <c r="F2167" s="76" t="s">
        <v>32</v>
      </c>
      <c r="G2167" s="52">
        <v>-50.98</v>
      </c>
      <c r="H2167" s="32" t="s">
        <v>3175</v>
      </c>
    </row>
    <row r="2168" spans="1:8" ht="18.75">
      <c r="A2168" t="s">
        <v>3176</v>
      </c>
      <c r="B2168">
        <v>10</v>
      </c>
      <c r="C2168">
        <v>2025</v>
      </c>
      <c r="D2168" s="54">
        <v>45954</v>
      </c>
      <c r="E2168" s="121" t="s">
        <v>160</v>
      </c>
      <c r="F2168" s="76" t="s">
        <v>29</v>
      </c>
      <c r="G2168" s="52">
        <v>-221.5</v>
      </c>
      <c r="H2168" s="32" t="s">
        <v>167</v>
      </c>
    </row>
    <row r="2169" spans="1:8" ht="18.75">
      <c r="A2169" t="s">
        <v>3177</v>
      </c>
      <c r="B2169">
        <v>10</v>
      </c>
      <c r="C2169">
        <v>2025</v>
      </c>
      <c r="D2169" s="54">
        <v>45954</v>
      </c>
      <c r="E2169" s="121" t="s">
        <v>160</v>
      </c>
      <c r="F2169" s="76" t="s">
        <v>48</v>
      </c>
      <c r="G2169" s="52">
        <v>-4</v>
      </c>
      <c r="H2169" s="32" t="s">
        <v>228</v>
      </c>
    </row>
    <row r="2170" spans="1:8" ht="18.75">
      <c r="A2170" t="s">
        <v>3178</v>
      </c>
      <c r="B2170">
        <v>10</v>
      </c>
      <c r="C2170">
        <v>2025</v>
      </c>
      <c r="D2170" s="54">
        <v>45954</v>
      </c>
      <c r="E2170" s="121" t="s">
        <v>160</v>
      </c>
      <c r="F2170" s="76" t="s">
        <v>48</v>
      </c>
      <c r="G2170" s="52">
        <v>-3.75</v>
      </c>
      <c r="H2170" s="32" t="s">
        <v>3042</v>
      </c>
    </row>
    <row r="2171" spans="1:8" ht="18.75">
      <c r="A2171" t="s">
        <v>3179</v>
      </c>
      <c r="B2171">
        <v>10</v>
      </c>
      <c r="C2171">
        <v>2025</v>
      </c>
      <c r="D2171" s="54">
        <v>45954</v>
      </c>
      <c r="E2171" s="121" t="s">
        <v>249</v>
      </c>
      <c r="F2171" s="76" t="s">
        <v>31</v>
      </c>
      <c r="G2171" s="52">
        <v>-71.81</v>
      </c>
      <c r="H2171" s="32" t="s">
        <v>3084</v>
      </c>
    </row>
    <row r="2172" spans="1:8" ht="18.75">
      <c r="A2172" t="s">
        <v>3180</v>
      </c>
      <c r="B2172">
        <v>10</v>
      </c>
      <c r="C2172">
        <v>2025</v>
      </c>
      <c r="D2172" s="54">
        <v>45954</v>
      </c>
      <c r="E2172" s="121" t="s">
        <v>249</v>
      </c>
      <c r="F2172" s="76" t="s">
        <v>31</v>
      </c>
      <c r="G2172" s="52">
        <v>-24.14</v>
      </c>
      <c r="H2172" s="32" t="s">
        <v>3181</v>
      </c>
    </row>
    <row r="2173" spans="1:8" ht="18.75">
      <c r="A2173" t="s">
        <v>3182</v>
      </c>
      <c r="B2173">
        <v>10</v>
      </c>
      <c r="C2173">
        <v>2025</v>
      </c>
      <c r="D2173" s="54">
        <v>45954</v>
      </c>
      <c r="E2173" s="121" t="s">
        <v>249</v>
      </c>
      <c r="F2173" s="76" t="s">
        <v>31</v>
      </c>
      <c r="G2173" s="52">
        <v>-9.24</v>
      </c>
      <c r="H2173" s="32" t="s">
        <v>3183</v>
      </c>
    </row>
    <row r="2174" spans="1:8" ht="18.75">
      <c r="A2174" t="s">
        <v>3184</v>
      </c>
      <c r="B2174">
        <v>10</v>
      </c>
      <c r="C2174">
        <v>2025</v>
      </c>
      <c r="D2174" s="54">
        <v>45954</v>
      </c>
      <c r="E2174" s="121" t="s">
        <v>249</v>
      </c>
      <c r="F2174" s="76" t="s">
        <v>31</v>
      </c>
      <c r="G2174" s="52">
        <v>-134.71</v>
      </c>
      <c r="H2174" s="32" t="s">
        <v>3185</v>
      </c>
    </row>
    <row r="2175" spans="1:8" ht="18.75">
      <c r="A2175" t="s">
        <v>3186</v>
      </c>
      <c r="B2175">
        <v>10</v>
      </c>
      <c r="C2175">
        <v>2025</v>
      </c>
      <c r="D2175" s="54">
        <v>45954</v>
      </c>
      <c r="E2175" s="121" t="s">
        <v>249</v>
      </c>
      <c r="F2175" s="76" t="s">
        <v>32</v>
      </c>
      <c r="G2175" s="52">
        <v>-52.29</v>
      </c>
      <c r="H2175" s="32" t="s">
        <v>3187</v>
      </c>
    </row>
    <row r="2176" spans="1:8" ht="18.75">
      <c r="A2176" t="s">
        <v>3188</v>
      </c>
      <c r="B2176">
        <v>10</v>
      </c>
      <c r="C2176">
        <v>2025</v>
      </c>
      <c r="D2176" s="54">
        <v>45956</v>
      </c>
      <c r="E2176" s="121" t="s">
        <v>249</v>
      </c>
      <c r="F2176" s="76" t="s">
        <v>66</v>
      </c>
      <c r="G2176" s="52">
        <v>-22.59</v>
      </c>
      <c r="H2176" s="32" t="s">
        <v>3189</v>
      </c>
    </row>
    <row r="2177" spans="1:8" ht="18.75">
      <c r="A2177" t="s">
        <v>3190</v>
      </c>
      <c r="B2177">
        <v>10</v>
      </c>
      <c r="C2177">
        <v>2025</v>
      </c>
      <c r="D2177" s="54">
        <v>45956</v>
      </c>
      <c r="E2177" s="121" t="s">
        <v>249</v>
      </c>
      <c r="F2177" s="76" t="s">
        <v>54</v>
      </c>
      <c r="G2177" s="52">
        <v>-11.05</v>
      </c>
      <c r="H2177" s="32" t="s">
        <v>3191</v>
      </c>
    </row>
    <row r="2178" spans="1:8" ht="18.75">
      <c r="A2178" t="s">
        <v>3192</v>
      </c>
      <c r="B2178">
        <v>10</v>
      </c>
      <c r="C2178">
        <v>2025</v>
      </c>
      <c r="D2178" s="54">
        <v>45956</v>
      </c>
      <c r="E2178" s="121" t="s">
        <v>249</v>
      </c>
      <c r="F2178" s="76" t="s">
        <v>35</v>
      </c>
      <c r="G2178" s="52">
        <v>-62.13</v>
      </c>
      <c r="H2178" s="32" t="s">
        <v>2907</v>
      </c>
    </row>
    <row r="2179" spans="1:8" ht="18.75">
      <c r="A2179" t="s">
        <v>3193</v>
      </c>
      <c r="B2179">
        <v>10</v>
      </c>
      <c r="C2179">
        <v>2025</v>
      </c>
      <c r="D2179" s="54">
        <v>45956</v>
      </c>
      <c r="E2179" s="121" t="s">
        <v>249</v>
      </c>
      <c r="F2179" s="76" t="s">
        <v>32</v>
      </c>
      <c r="G2179" s="52">
        <v>-49.51</v>
      </c>
      <c r="H2179" s="32" t="s">
        <v>3187</v>
      </c>
    </row>
    <row r="2180" spans="1:8" ht="18.75">
      <c r="A2180" t="s">
        <v>3194</v>
      </c>
      <c r="B2180">
        <v>10</v>
      </c>
      <c r="C2180">
        <v>2025</v>
      </c>
      <c r="D2180" s="54">
        <v>45956</v>
      </c>
      <c r="E2180" s="121" t="s">
        <v>249</v>
      </c>
      <c r="F2180" s="76" t="s">
        <v>59</v>
      </c>
      <c r="G2180" s="52">
        <v>-46.25</v>
      </c>
      <c r="H2180" s="32" t="s">
        <v>3195</v>
      </c>
    </row>
    <row r="2181" spans="1:8" ht="18.75">
      <c r="A2181" t="s">
        <v>3196</v>
      </c>
      <c r="B2181">
        <v>11</v>
      </c>
      <c r="C2181">
        <v>2025</v>
      </c>
      <c r="D2181" s="54">
        <v>45964</v>
      </c>
      <c r="E2181" s="121" t="s">
        <v>160</v>
      </c>
      <c r="F2181" s="76" t="s">
        <v>49</v>
      </c>
      <c r="G2181" s="52">
        <v>-50</v>
      </c>
      <c r="H2181" s="32" t="s">
        <v>173</v>
      </c>
    </row>
    <row r="2182" spans="1:8" ht="18.75">
      <c r="A2182" t="s">
        <v>3197</v>
      </c>
      <c r="B2182">
        <v>10</v>
      </c>
      <c r="C2182">
        <v>2025</v>
      </c>
      <c r="D2182" s="54">
        <v>45958</v>
      </c>
      <c r="E2182" s="121" t="s">
        <v>160</v>
      </c>
      <c r="F2182" s="76" t="s">
        <v>43</v>
      </c>
      <c r="G2182" s="52">
        <v>-9.0299999999999994</v>
      </c>
      <c r="H2182" s="32" t="s">
        <v>163</v>
      </c>
    </row>
    <row r="2183" spans="1:8" ht="18.75">
      <c r="A2183" t="s">
        <v>3198</v>
      </c>
      <c r="B2183">
        <v>10</v>
      </c>
      <c r="C2183">
        <v>2025</v>
      </c>
      <c r="D2183" s="54">
        <v>45958</v>
      </c>
      <c r="E2183" s="121" t="s">
        <v>160</v>
      </c>
      <c r="F2183" s="76" t="s">
        <v>57</v>
      </c>
      <c r="G2183" s="52">
        <v>-905</v>
      </c>
      <c r="H2183" s="32" t="s">
        <v>3199</v>
      </c>
    </row>
    <row r="2184" spans="1:8" ht="18.75">
      <c r="A2184" t="s">
        <v>3200</v>
      </c>
      <c r="B2184">
        <v>10</v>
      </c>
      <c r="C2184">
        <v>2025</v>
      </c>
      <c r="D2184" s="54">
        <v>45958</v>
      </c>
      <c r="E2184" s="121" t="s">
        <v>249</v>
      </c>
      <c r="F2184" s="76" t="s">
        <v>55</v>
      </c>
      <c r="G2184" s="52">
        <f>-57.38+12.38</f>
        <v>-45</v>
      </c>
      <c r="H2184" s="32" t="s">
        <v>282</v>
      </c>
    </row>
    <row r="2185" spans="1:8" ht="18.75">
      <c r="B2185">
        <v>10</v>
      </c>
      <c r="C2185">
        <v>2025</v>
      </c>
      <c r="D2185" s="54">
        <v>45958</v>
      </c>
      <c r="E2185" s="121" t="s">
        <v>249</v>
      </c>
      <c r="F2185" s="76" t="s">
        <v>52</v>
      </c>
      <c r="G2185" s="52">
        <v>-12.38</v>
      </c>
      <c r="H2185" s="32" t="s">
        <v>282</v>
      </c>
    </row>
    <row r="2186" spans="1:8" ht="18.75">
      <c r="A2186" t="s">
        <v>3201</v>
      </c>
      <c r="B2186">
        <v>10</v>
      </c>
      <c r="C2186">
        <v>2025</v>
      </c>
      <c r="D2186" s="54">
        <v>45958</v>
      </c>
      <c r="E2186" s="121" t="s">
        <v>249</v>
      </c>
      <c r="F2186" s="76" t="s">
        <v>57</v>
      </c>
      <c r="G2186" s="52">
        <v>-139.25</v>
      </c>
      <c r="H2186" s="32" t="s">
        <v>282</v>
      </c>
    </row>
    <row r="2187" spans="1:8" ht="18.75">
      <c r="A2187" t="s">
        <v>3202</v>
      </c>
      <c r="B2187">
        <v>10</v>
      </c>
      <c r="C2187">
        <v>2025</v>
      </c>
      <c r="D2187" s="54">
        <v>45959</v>
      </c>
      <c r="E2187" s="121" t="s">
        <v>249</v>
      </c>
      <c r="F2187" s="76" t="s">
        <v>59</v>
      </c>
      <c r="G2187" s="52">
        <v>-19.25</v>
      </c>
      <c r="H2187" s="32" t="s">
        <v>3203</v>
      </c>
    </row>
    <row r="2188" spans="1:8" ht="18.75">
      <c r="A2188" t="s">
        <v>3204</v>
      </c>
      <c r="B2188">
        <v>10</v>
      </c>
      <c r="C2188">
        <v>2025</v>
      </c>
      <c r="D2188" s="54">
        <v>45959</v>
      </c>
      <c r="E2188" s="121" t="s">
        <v>249</v>
      </c>
      <c r="F2188" s="76" t="s">
        <v>66</v>
      </c>
      <c r="G2188" s="52">
        <v>-5.86</v>
      </c>
      <c r="H2188" s="32" t="s">
        <v>3205</v>
      </c>
    </row>
    <row r="2189" spans="1:8" ht="18.75">
      <c r="A2189" t="s">
        <v>3206</v>
      </c>
      <c r="B2189">
        <v>10</v>
      </c>
      <c r="C2189">
        <v>2025</v>
      </c>
      <c r="D2189" s="54">
        <v>45960</v>
      </c>
      <c r="E2189" s="121" t="s">
        <v>146</v>
      </c>
      <c r="F2189" s="76" t="s">
        <v>31</v>
      </c>
      <c r="G2189" s="52">
        <v>-204</v>
      </c>
      <c r="H2189" s="32" t="s">
        <v>3207</v>
      </c>
    </row>
    <row r="2190" spans="1:8" ht="18.75">
      <c r="A2190" t="s">
        <v>3208</v>
      </c>
      <c r="B2190">
        <v>10</v>
      </c>
      <c r="C2190">
        <v>2025</v>
      </c>
      <c r="D2190" s="54">
        <v>45961</v>
      </c>
      <c r="E2190" s="121" t="s">
        <v>160</v>
      </c>
      <c r="F2190" s="76" t="s">
        <v>33</v>
      </c>
      <c r="G2190" s="52">
        <v>-443.25</v>
      </c>
      <c r="H2190" s="32" t="s">
        <v>3002</v>
      </c>
    </row>
    <row r="2191" spans="1:8" ht="18.75">
      <c r="A2191" t="s">
        <v>3209</v>
      </c>
      <c r="B2191">
        <v>11</v>
      </c>
      <c r="C2191">
        <v>2025</v>
      </c>
      <c r="D2191" s="54">
        <v>45962</v>
      </c>
      <c r="E2191" s="121" t="s">
        <v>249</v>
      </c>
      <c r="F2191" s="76" t="s">
        <v>59</v>
      </c>
      <c r="G2191" s="52">
        <v>-40.97</v>
      </c>
      <c r="H2191" s="32" t="s">
        <v>1752</v>
      </c>
    </row>
    <row r="2192" spans="1:8" ht="18.75">
      <c r="A2192" t="s">
        <v>3210</v>
      </c>
      <c r="B2192">
        <v>11</v>
      </c>
      <c r="C2192">
        <v>2025</v>
      </c>
      <c r="D2192" s="54">
        <v>45962</v>
      </c>
      <c r="E2192" s="121" t="s">
        <v>249</v>
      </c>
      <c r="F2192" s="76" t="s">
        <v>48</v>
      </c>
      <c r="G2192" s="52">
        <v>-39</v>
      </c>
      <c r="H2192" s="32" t="s">
        <v>1692</v>
      </c>
    </row>
    <row r="2193" spans="1:9" ht="18.75">
      <c r="A2193" t="s">
        <v>3211</v>
      </c>
      <c r="B2193">
        <v>11</v>
      </c>
      <c r="C2193">
        <v>2025</v>
      </c>
      <c r="D2193" s="54">
        <v>45963</v>
      </c>
      <c r="E2193" s="121" t="s">
        <v>249</v>
      </c>
      <c r="F2193" s="76" t="s">
        <v>57</v>
      </c>
      <c r="G2193" s="52">
        <v>-77.44</v>
      </c>
      <c r="H2193" s="32" t="s">
        <v>351</v>
      </c>
    </row>
    <row r="2194" spans="1:9" ht="18.75">
      <c r="A2194" t="s">
        <v>3212</v>
      </c>
      <c r="B2194">
        <v>11</v>
      </c>
      <c r="C2194">
        <v>2025</v>
      </c>
      <c r="D2194" s="54">
        <v>45963</v>
      </c>
      <c r="E2194" s="121" t="s">
        <v>249</v>
      </c>
      <c r="F2194" s="76" t="s">
        <v>53</v>
      </c>
      <c r="G2194" s="52">
        <v>-20.329999999999998</v>
      </c>
      <c r="H2194" s="32" t="s">
        <v>601</v>
      </c>
    </row>
    <row r="2195" spans="1:9" ht="18.75">
      <c r="A2195" t="s">
        <v>3213</v>
      </c>
      <c r="B2195">
        <v>11</v>
      </c>
      <c r="C2195">
        <v>2025</v>
      </c>
      <c r="D2195" s="54">
        <v>45963</v>
      </c>
      <c r="E2195" s="121" t="s">
        <v>249</v>
      </c>
      <c r="F2195" s="76" t="s">
        <v>58</v>
      </c>
      <c r="G2195" s="52">
        <v>-67.78</v>
      </c>
      <c r="H2195" s="32" t="s">
        <v>3214</v>
      </c>
    </row>
    <row r="2196" spans="1:9" ht="18.75">
      <c r="A2196" t="s">
        <v>3215</v>
      </c>
      <c r="B2196">
        <v>11</v>
      </c>
      <c r="C2196">
        <v>2025</v>
      </c>
      <c r="D2196" s="54">
        <v>45963</v>
      </c>
      <c r="E2196" s="121" t="s">
        <v>249</v>
      </c>
      <c r="F2196" s="76" t="s">
        <v>55</v>
      </c>
      <c r="G2196" s="52">
        <v>-64.87</v>
      </c>
      <c r="H2196" s="32" t="s">
        <v>356</v>
      </c>
    </row>
    <row r="2197" spans="1:9" ht="18.75">
      <c r="A2197" t="s">
        <v>3216</v>
      </c>
      <c r="B2197">
        <v>11</v>
      </c>
      <c r="C2197">
        <v>2025</v>
      </c>
      <c r="D2197" s="54">
        <v>45971</v>
      </c>
      <c r="E2197" s="121" t="s">
        <v>160</v>
      </c>
      <c r="F2197" s="76" t="s">
        <v>49</v>
      </c>
      <c r="G2197" s="52">
        <v>-50</v>
      </c>
      <c r="H2197" s="32" t="s">
        <v>161</v>
      </c>
    </row>
    <row r="2198" spans="1:9" ht="18.75">
      <c r="A2198" t="s">
        <v>3217</v>
      </c>
      <c r="B2198">
        <v>11</v>
      </c>
      <c r="C2198">
        <v>2025</v>
      </c>
      <c r="D2198" s="54">
        <v>45964</v>
      </c>
      <c r="E2198" s="121" t="s">
        <v>160</v>
      </c>
      <c r="F2198" s="76" t="s">
        <v>45</v>
      </c>
      <c r="G2198" s="52">
        <v>-57.75</v>
      </c>
      <c r="H2198" s="32" t="s">
        <v>334</v>
      </c>
      <c r="I2198" s="112"/>
    </row>
    <row r="2199" spans="1:9" ht="18.75">
      <c r="A2199" t="s">
        <v>3218</v>
      </c>
      <c r="B2199">
        <v>11</v>
      </c>
      <c r="C2199">
        <v>2025</v>
      </c>
      <c r="D2199" s="54">
        <v>45964</v>
      </c>
      <c r="E2199" s="121" t="s">
        <v>160</v>
      </c>
      <c r="F2199" s="76" t="s">
        <v>40</v>
      </c>
      <c r="G2199" s="52">
        <v>-100</v>
      </c>
      <c r="H2199" s="32" t="s">
        <v>3219</v>
      </c>
    </row>
    <row r="2200" spans="1:9" ht="18.75">
      <c r="A2200" t="s">
        <v>3220</v>
      </c>
      <c r="B2200">
        <v>11</v>
      </c>
      <c r="C2200">
        <v>2025</v>
      </c>
      <c r="D2200" s="54">
        <v>45964</v>
      </c>
      <c r="E2200" s="121" t="s">
        <v>160</v>
      </c>
      <c r="F2200" s="76" t="s">
        <v>40</v>
      </c>
      <c r="G2200" s="52">
        <v>-100</v>
      </c>
      <c r="H2200" s="32" t="s">
        <v>3221</v>
      </c>
    </row>
    <row r="2201" spans="1:9" ht="18.75">
      <c r="A2201" t="s">
        <v>3222</v>
      </c>
      <c r="B2201">
        <v>11</v>
      </c>
      <c r="C2201">
        <v>2025</v>
      </c>
      <c r="D2201" s="54">
        <v>45964</v>
      </c>
      <c r="E2201" s="121" t="s">
        <v>160</v>
      </c>
      <c r="F2201" s="76" t="s">
        <v>79</v>
      </c>
      <c r="G2201" s="52">
        <v>-2876.12</v>
      </c>
      <c r="H2201" s="32" t="s">
        <v>3223</v>
      </c>
    </row>
    <row r="2202" spans="1:9" ht="18.75">
      <c r="A2202" t="s">
        <v>3224</v>
      </c>
      <c r="B2202">
        <v>11</v>
      </c>
      <c r="C2202">
        <v>2025</v>
      </c>
      <c r="D2202" s="54">
        <v>45964</v>
      </c>
      <c r="E2202" s="121" t="s">
        <v>146</v>
      </c>
      <c r="F2202" s="76" t="s">
        <v>79</v>
      </c>
      <c r="G2202" s="52">
        <v>2876.12</v>
      </c>
      <c r="H2202" s="32" t="s">
        <v>3225</v>
      </c>
    </row>
    <row r="2203" spans="1:9" ht="18.75">
      <c r="A2203" t="s">
        <v>3226</v>
      </c>
      <c r="B2203">
        <v>11</v>
      </c>
      <c r="C2203">
        <v>2025</v>
      </c>
      <c r="D2203" s="54">
        <v>45964</v>
      </c>
      <c r="E2203" s="121" t="s">
        <v>146</v>
      </c>
      <c r="F2203" s="76" t="s">
        <v>48</v>
      </c>
      <c r="G2203" s="52">
        <v>5.22</v>
      </c>
      <c r="H2203" s="32" t="s">
        <v>175</v>
      </c>
    </row>
    <row r="2204" spans="1:9" ht="18.75">
      <c r="A2204" t="s">
        <v>3227</v>
      </c>
      <c r="B2204">
        <v>11</v>
      </c>
      <c r="C2204">
        <v>2025</v>
      </c>
      <c r="D2204" s="54">
        <v>45964</v>
      </c>
      <c r="E2204" s="121" t="s">
        <v>249</v>
      </c>
      <c r="F2204" s="76" t="s">
        <v>58</v>
      </c>
      <c r="G2204" s="52">
        <v>-42.94</v>
      </c>
      <c r="H2204" s="32" t="s">
        <v>3228</v>
      </c>
    </row>
    <row r="2205" spans="1:9" ht="18.75">
      <c r="B2205">
        <v>11</v>
      </c>
      <c r="C2205">
        <v>2025</v>
      </c>
      <c r="D2205" s="54">
        <v>45965</v>
      </c>
      <c r="E2205" s="121" t="s">
        <v>146</v>
      </c>
      <c r="F2205" s="76" t="s">
        <v>31</v>
      </c>
      <c r="G2205" s="52">
        <v>400</v>
      </c>
      <c r="H2205" s="32" t="s">
        <v>3229</v>
      </c>
    </row>
    <row r="2206" spans="1:9" ht="18.75">
      <c r="B2206">
        <v>11</v>
      </c>
      <c r="C2206">
        <v>2025</v>
      </c>
      <c r="D2206" s="54">
        <v>45965</v>
      </c>
      <c r="E2206" s="121" t="s">
        <v>146</v>
      </c>
      <c r="F2206" s="76" t="s">
        <v>34</v>
      </c>
      <c r="G2206" s="52">
        <v>-400</v>
      </c>
      <c r="H2206" s="32" t="s">
        <v>3015</v>
      </c>
    </row>
    <row r="2207" spans="1:9" ht="18.75">
      <c r="B2207">
        <v>11</v>
      </c>
      <c r="C2207">
        <v>2025</v>
      </c>
      <c r="D2207" s="54">
        <v>45965</v>
      </c>
      <c r="E2207" s="121" t="s">
        <v>146</v>
      </c>
      <c r="F2207" s="76" t="s">
        <v>31</v>
      </c>
      <c r="G2207" s="52">
        <v>514.70000000000005</v>
      </c>
      <c r="H2207" s="32" t="s">
        <v>3230</v>
      </c>
    </row>
    <row r="2208" spans="1:9" ht="18.75">
      <c r="A2208" t="s">
        <v>3231</v>
      </c>
      <c r="B2208">
        <v>11</v>
      </c>
      <c r="C2208">
        <v>2025</v>
      </c>
      <c r="D2208" s="54">
        <v>45965</v>
      </c>
      <c r="E2208" s="121" t="s">
        <v>160</v>
      </c>
      <c r="F2208" s="76" t="s">
        <v>45</v>
      </c>
      <c r="G2208" s="52">
        <v>57.75</v>
      </c>
      <c r="H2208" s="32" t="s">
        <v>3232</v>
      </c>
      <c r="I2208" s="32" t="s">
        <v>3233</v>
      </c>
    </row>
    <row r="2209" spans="1:12" ht="18.75">
      <c r="A2209" t="s">
        <v>3234</v>
      </c>
      <c r="B2209">
        <v>11</v>
      </c>
      <c r="C2209">
        <v>2025</v>
      </c>
      <c r="D2209" s="54">
        <v>45965</v>
      </c>
      <c r="E2209" s="121" t="s">
        <v>249</v>
      </c>
      <c r="F2209" s="76" t="s">
        <v>45</v>
      </c>
      <c r="G2209" s="52">
        <v>-57.75</v>
      </c>
      <c r="H2209" s="32" t="s">
        <v>3235</v>
      </c>
    </row>
    <row r="2210" spans="1:12" ht="18.75">
      <c r="A2210" t="s">
        <v>3236</v>
      </c>
      <c r="B2210">
        <v>11</v>
      </c>
      <c r="C2210">
        <v>2025</v>
      </c>
      <c r="D2210" s="54">
        <v>45965</v>
      </c>
      <c r="E2210" s="121" t="s">
        <v>249</v>
      </c>
      <c r="F2210" s="76" t="s">
        <v>46</v>
      </c>
      <c r="G2210" s="52">
        <v>-20</v>
      </c>
      <c r="H2210" s="32" t="s">
        <v>268</v>
      </c>
    </row>
    <row r="2211" spans="1:12" ht="18.75">
      <c r="A2211" t="s">
        <v>3237</v>
      </c>
      <c r="B2211">
        <v>11</v>
      </c>
      <c r="C2211">
        <v>2025</v>
      </c>
      <c r="D2211" s="54">
        <v>45966</v>
      </c>
      <c r="E2211" s="121" t="s">
        <v>160</v>
      </c>
      <c r="F2211" s="76" t="s">
        <v>79</v>
      </c>
      <c r="G2211" s="52">
        <v>2591.86</v>
      </c>
      <c r="H2211" s="32" t="s">
        <v>3238</v>
      </c>
    </row>
    <row r="2212" spans="1:12" ht="18.75">
      <c r="A2212" t="s">
        <v>3239</v>
      </c>
      <c r="B2212">
        <v>11</v>
      </c>
      <c r="C2212">
        <v>2025</v>
      </c>
      <c r="D2212" s="54">
        <v>45966</v>
      </c>
      <c r="E2212" s="121" t="s">
        <v>160</v>
      </c>
      <c r="F2212" s="76" t="s">
        <v>79</v>
      </c>
      <c r="G2212" s="52">
        <v>2468.87</v>
      </c>
      <c r="H2212" s="32" t="s">
        <v>1655</v>
      </c>
    </row>
    <row r="2213" spans="1:12" ht="18.75">
      <c r="A2213" t="s">
        <v>3240</v>
      </c>
      <c r="B2213">
        <v>11</v>
      </c>
      <c r="C2213">
        <v>2025</v>
      </c>
      <c r="D2213" s="54">
        <v>45966</v>
      </c>
      <c r="E2213" s="121" t="s">
        <v>160</v>
      </c>
      <c r="F2213" s="76" t="s">
        <v>30</v>
      </c>
      <c r="G2213" s="52">
        <v>-230.75</v>
      </c>
      <c r="H2213" s="32" t="s">
        <v>196</v>
      </c>
    </row>
    <row r="2214" spans="1:12" ht="18.75">
      <c r="A2214" s="77" t="s">
        <v>3241</v>
      </c>
      <c r="B2214">
        <v>11</v>
      </c>
      <c r="C2214">
        <v>2025</v>
      </c>
      <c r="D2214" s="54">
        <v>45966</v>
      </c>
      <c r="E2214" s="121" t="s">
        <v>160</v>
      </c>
      <c r="F2214" s="76" t="s">
        <v>40</v>
      </c>
      <c r="G2214" s="52">
        <v>-200</v>
      </c>
      <c r="H2214" s="32" t="s">
        <v>3242</v>
      </c>
      <c r="L2214" t="s">
        <v>298</v>
      </c>
    </row>
    <row r="2215" spans="1:12" ht="18.75">
      <c r="A2215" t="s">
        <v>3243</v>
      </c>
      <c r="B2215">
        <v>11</v>
      </c>
      <c r="C2215">
        <v>2025</v>
      </c>
      <c r="D2215" s="54">
        <v>45966</v>
      </c>
      <c r="E2215" s="121" t="s">
        <v>146</v>
      </c>
      <c r="F2215" s="76" t="s">
        <v>59</v>
      </c>
      <c r="G2215" s="52">
        <v>19.25</v>
      </c>
      <c r="H2215" s="32" t="s">
        <v>3244</v>
      </c>
      <c r="I2215" s="32" t="s">
        <v>3245</v>
      </c>
    </row>
    <row r="2216" spans="1:12" ht="18.75">
      <c r="A2216" t="s">
        <v>3246</v>
      </c>
      <c r="B2216">
        <v>11</v>
      </c>
      <c r="C2216">
        <v>2025</v>
      </c>
      <c r="D2216" s="54">
        <v>45966</v>
      </c>
      <c r="E2216" s="121" t="s">
        <v>146</v>
      </c>
      <c r="F2216" s="76" t="s">
        <v>66</v>
      </c>
      <c r="G2216" s="52">
        <v>306.75</v>
      </c>
      <c r="H2216" s="32" t="s">
        <v>3247</v>
      </c>
      <c r="I2216" s="32" t="s">
        <v>3248</v>
      </c>
    </row>
    <row r="2217" spans="1:12" ht="18.75">
      <c r="A2217" t="s">
        <v>3249</v>
      </c>
      <c r="B2217">
        <v>11</v>
      </c>
      <c r="C2217">
        <v>2025</v>
      </c>
      <c r="D2217" s="54">
        <v>45966</v>
      </c>
      <c r="E2217" s="121" t="s">
        <v>146</v>
      </c>
      <c r="F2217" s="76" t="s">
        <v>79</v>
      </c>
      <c r="G2217" s="52">
        <v>514.70000000000005</v>
      </c>
      <c r="H2217" s="32" t="s">
        <v>3250</v>
      </c>
      <c r="I2217" s="112" t="s">
        <v>3251</v>
      </c>
    </row>
    <row r="2218" spans="1:12" ht="18.75">
      <c r="A2218" t="s">
        <v>3252</v>
      </c>
      <c r="B2218">
        <v>11</v>
      </c>
      <c r="C2218">
        <v>2025</v>
      </c>
      <c r="D2218" s="54">
        <v>45966</v>
      </c>
      <c r="E2218" s="121" t="s">
        <v>146</v>
      </c>
      <c r="F2218" s="76" t="s">
        <v>79</v>
      </c>
      <c r="G2218" s="52">
        <v>-2591.86</v>
      </c>
      <c r="H2218" s="32" t="s">
        <v>3253</v>
      </c>
    </row>
    <row r="2219" spans="1:12" ht="18.75">
      <c r="A2219" t="s">
        <v>3254</v>
      </c>
      <c r="B2219">
        <v>11</v>
      </c>
      <c r="C2219">
        <v>2025</v>
      </c>
      <c r="D2219" s="54">
        <v>45966</v>
      </c>
      <c r="E2219" s="121" t="s">
        <v>249</v>
      </c>
      <c r="F2219" s="76" t="s">
        <v>66</v>
      </c>
      <c r="G2219" s="52">
        <v>-120</v>
      </c>
      <c r="H2219" s="32" t="s">
        <v>3255</v>
      </c>
    </row>
    <row r="2220" spans="1:12" ht="18.75">
      <c r="A2220" t="s">
        <v>3256</v>
      </c>
      <c r="B2220">
        <v>11</v>
      </c>
      <c r="C2220">
        <v>2025</v>
      </c>
      <c r="D2220" s="54">
        <v>45966</v>
      </c>
      <c r="E2220" s="121" t="s">
        <v>249</v>
      </c>
      <c r="F2220" s="76" t="s">
        <v>52</v>
      </c>
      <c r="G2220" s="52">
        <v>-57.99</v>
      </c>
      <c r="H2220" s="32" t="s">
        <v>3257</v>
      </c>
      <c r="I2220" s="32" t="s">
        <v>3258</v>
      </c>
    </row>
    <row r="2221" spans="1:12" ht="18.75">
      <c r="A2221" t="s">
        <v>3259</v>
      </c>
      <c r="B2221">
        <v>11</v>
      </c>
      <c r="C2221">
        <v>2025</v>
      </c>
      <c r="D2221" s="54">
        <v>45967</v>
      </c>
      <c r="E2221" s="121" t="s">
        <v>160</v>
      </c>
      <c r="F2221" s="76" t="s">
        <v>79</v>
      </c>
      <c r="G2221" s="52">
        <v>1327.81</v>
      </c>
      <c r="H2221" s="32" t="s">
        <v>190</v>
      </c>
    </row>
    <row r="2222" spans="1:12" ht="18.75">
      <c r="A2222" t="s">
        <v>3260</v>
      </c>
      <c r="B2222">
        <v>11</v>
      </c>
      <c r="C2222">
        <v>2025</v>
      </c>
      <c r="D2222" s="54">
        <v>45968</v>
      </c>
      <c r="E2222" s="121" t="s">
        <v>160</v>
      </c>
      <c r="F2222" s="76" t="s">
        <v>36</v>
      </c>
      <c r="G2222" s="52">
        <v>-66.52</v>
      </c>
      <c r="H2222" s="32" t="s">
        <v>3261</v>
      </c>
    </row>
    <row r="2223" spans="1:12" ht="18.75">
      <c r="A2223" t="s">
        <v>3262</v>
      </c>
      <c r="B2223">
        <v>11</v>
      </c>
      <c r="C2223">
        <v>2025</v>
      </c>
      <c r="D2223" s="54">
        <v>45968</v>
      </c>
      <c r="E2223" s="121" t="s">
        <v>249</v>
      </c>
      <c r="F2223" s="76" t="s">
        <v>42</v>
      </c>
      <c r="G2223" s="52">
        <v>-25.98</v>
      </c>
      <c r="H2223" s="32" t="s">
        <v>1833</v>
      </c>
    </row>
    <row r="2224" spans="1:12" ht="18.75">
      <c r="B2224">
        <v>11</v>
      </c>
      <c r="C2224">
        <v>2025</v>
      </c>
      <c r="D2224" s="54">
        <v>45969</v>
      </c>
      <c r="E2224" s="121" t="s">
        <v>160</v>
      </c>
      <c r="F2224" s="76" t="s">
        <v>61</v>
      </c>
      <c r="G2224" s="52">
        <v>-1050.01</v>
      </c>
      <c r="H2224" s="32" t="s">
        <v>3263</v>
      </c>
      <c r="I2224" s="112"/>
    </row>
    <row r="2225" spans="1:9" ht="18.75">
      <c r="A2225" t="s">
        <v>3264</v>
      </c>
      <c r="B2225">
        <v>11</v>
      </c>
      <c r="C2225">
        <v>2025</v>
      </c>
      <c r="D2225" s="54">
        <v>45969</v>
      </c>
      <c r="E2225" s="121" t="s">
        <v>249</v>
      </c>
      <c r="F2225" s="76" t="s">
        <v>57</v>
      </c>
      <c r="G2225" s="52">
        <v>-101.34</v>
      </c>
      <c r="H2225" s="32" t="s">
        <v>351</v>
      </c>
    </row>
    <row r="2226" spans="1:9" ht="18.75">
      <c r="A2226" t="s">
        <v>3265</v>
      </c>
      <c r="B2226">
        <v>11</v>
      </c>
      <c r="C2226">
        <v>2025</v>
      </c>
      <c r="D2226" s="54">
        <v>45985</v>
      </c>
      <c r="E2226" s="121" t="s">
        <v>160</v>
      </c>
      <c r="F2226" s="76" t="s">
        <v>49</v>
      </c>
      <c r="G2226" s="52">
        <v>-50</v>
      </c>
      <c r="H2226" s="32" t="s">
        <v>161</v>
      </c>
    </row>
    <row r="2227" spans="1:9" ht="18.75">
      <c r="A2227" t="s">
        <v>3266</v>
      </c>
      <c r="B2227">
        <v>11</v>
      </c>
      <c r="C2227">
        <v>2025</v>
      </c>
      <c r="D2227" s="54">
        <v>45971</v>
      </c>
      <c r="E2227" s="121" t="s">
        <v>160</v>
      </c>
      <c r="F2227" s="76" t="s">
        <v>51</v>
      </c>
      <c r="G2227" s="52">
        <v>-125.87</v>
      </c>
      <c r="H2227" s="32" t="s">
        <v>199</v>
      </c>
    </row>
    <row r="2228" spans="1:9" ht="18.75">
      <c r="A2228" t="s">
        <v>3267</v>
      </c>
      <c r="B2228">
        <v>11</v>
      </c>
      <c r="C2228">
        <v>2025</v>
      </c>
      <c r="D2228" s="54">
        <v>45971</v>
      </c>
      <c r="E2228" s="121" t="s">
        <v>160</v>
      </c>
      <c r="F2228" s="76" t="s">
        <v>79</v>
      </c>
      <c r="G2228" s="52">
        <v>-1050.01</v>
      </c>
      <c r="H2228" s="32" t="s">
        <v>3268</v>
      </c>
      <c r="I2228" s="32" t="s">
        <v>3269</v>
      </c>
    </row>
    <row r="2229" spans="1:9" ht="18.75">
      <c r="A2229" t="s">
        <v>3270</v>
      </c>
      <c r="B2229">
        <v>11</v>
      </c>
      <c r="C2229">
        <v>2025</v>
      </c>
      <c r="D2229" s="54">
        <v>45971</v>
      </c>
      <c r="E2229" s="121" t="s">
        <v>249</v>
      </c>
      <c r="F2229" s="76" t="s">
        <v>66</v>
      </c>
      <c r="G2229" s="52">
        <v>-3.49</v>
      </c>
      <c r="H2229" s="32" t="s">
        <v>616</v>
      </c>
    </row>
    <row r="2230" spans="1:9" ht="18.75">
      <c r="A2230" t="s">
        <v>3271</v>
      </c>
      <c r="B2230">
        <v>11</v>
      </c>
      <c r="C2230">
        <v>2025</v>
      </c>
      <c r="D2230" s="54">
        <v>45973</v>
      </c>
      <c r="E2230" s="121" t="s">
        <v>160</v>
      </c>
      <c r="F2230" s="76" t="s">
        <v>43</v>
      </c>
      <c r="G2230" s="52">
        <v>-9.0299999999999994</v>
      </c>
      <c r="H2230" s="32" t="s">
        <v>163</v>
      </c>
    </row>
    <row r="2231" spans="1:9" ht="18.75">
      <c r="A2231" t="s">
        <v>3272</v>
      </c>
      <c r="B2231">
        <v>11</v>
      </c>
      <c r="C2231">
        <v>2025</v>
      </c>
      <c r="D2231" s="54">
        <v>45973</v>
      </c>
      <c r="E2231" s="121" t="s">
        <v>249</v>
      </c>
      <c r="F2231" s="76" t="s">
        <v>55</v>
      </c>
      <c r="G2231" s="52">
        <v>-628.34</v>
      </c>
      <c r="H2231" s="32" t="s">
        <v>2120</v>
      </c>
    </row>
    <row r="2232" spans="1:9" ht="18.75">
      <c r="A2232" t="s">
        <v>3273</v>
      </c>
      <c r="B2232">
        <v>11</v>
      </c>
      <c r="C2232">
        <v>2025</v>
      </c>
      <c r="D2232" s="54">
        <v>45974</v>
      </c>
      <c r="E2232" s="121" t="s">
        <v>249</v>
      </c>
      <c r="F2232" s="76" t="s">
        <v>66</v>
      </c>
      <c r="G2232" s="52">
        <v>-1645</v>
      </c>
      <c r="H2232" s="32" t="s">
        <v>3255</v>
      </c>
    </row>
    <row r="2233" spans="1:9" ht="18.75">
      <c r="A2233" t="s">
        <v>3274</v>
      </c>
      <c r="B2233">
        <v>11</v>
      </c>
      <c r="C2233">
        <v>2025</v>
      </c>
      <c r="D2233" s="54">
        <v>45975</v>
      </c>
      <c r="E2233" s="121" t="s">
        <v>160</v>
      </c>
      <c r="F2233" s="76" t="s">
        <v>33</v>
      </c>
      <c r="G2233" s="52">
        <v>-443.25</v>
      </c>
      <c r="H2233" s="32" t="s">
        <v>3002</v>
      </c>
    </row>
    <row r="2234" spans="1:9" ht="18.75">
      <c r="A2234" t="s">
        <v>3275</v>
      </c>
      <c r="B2234">
        <v>11</v>
      </c>
      <c r="C2234">
        <v>2025</v>
      </c>
      <c r="D2234" s="54">
        <v>45975</v>
      </c>
      <c r="E2234" s="121" t="s">
        <v>249</v>
      </c>
      <c r="F2234" s="76" t="s">
        <v>66</v>
      </c>
      <c r="G2234" s="52">
        <v>-6</v>
      </c>
      <c r="H2234" s="32" t="s">
        <v>1577</v>
      </c>
    </row>
    <row r="2235" spans="1:9" ht="18.75">
      <c r="A2235" t="s">
        <v>3276</v>
      </c>
      <c r="B2235">
        <v>11</v>
      </c>
      <c r="C2235">
        <v>2025</v>
      </c>
      <c r="D2235" s="54">
        <v>45976</v>
      </c>
      <c r="E2235" s="121" t="s">
        <v>249</v>
      </c>
      <c r="F2235" s="76" t="s">
        <v>32</v>
      </c>
      <c r="G2235" s="52">
        <v>-47.01</v>
      </c>
      <c r="H2235" s="32" t="s">
        <v>265</v>
      </c>
    </row>
    <row r="2236" spans="1:9" ht="18.75">
      <c r="A2236" t="s">
        <v>3277</v>
      </c>
      <c r="B2236">
        <v>11</v>
      </c>
      <c r="C2236">
        <v>2025</v>
      </c>
      <c r="D2236" s="54">
        <v>45976</v>
      </c>
      <c r="E2236" s="121" t="s">
        <v>249</v>
      </c>
      <c r="F2236" s="76" t="s">
        <v>59</v>
      </c>
      <c r="G2236" s="52">
        <v>-168.05</v>
      </c>
      <c r="H2236" s="32" t="s">
        <v>1989</v>
      </c>
      <c r="I2236" s="32" t="s">
        <v>3278</v>
      </c>
    </row>
    <row r="2237" spans="1:9" ht="18.75">
      <c r="B2237">
        <v>11</v>
      </c>
      <c r="C2237">
        <v>2025</v>
      </c>
      <c r="D2237" s="54">
        <v>45991</v>
      </c>
      <c r="E2237" s="121" t="s">
        <v>146</v>
      </c>
      <c r="F2237" s="76" t="s">
        <v>59</v>
      </c>
      <c r="G2237" s="52">
        <v>237.1</v>
      </c>
      <c r="H2237" s="32" t="s">
        <v>3279</v>
      </c>
      <c r="I2237" s="32" t="s">
        <v>3280</v>
      </c>
    </row>
    <row r="2238" spans="1:9" ht="18.75">
      <c r="E2238" s="121"/>
      <c r="F2238" s="76"/>
      <c r="G2238" s="52"/>
    </row>
    <row r="2239" spans="1:9" ht="18.75">
      <c r="A2239" t="s">
        <v>3281</v>
      </c>
      <c r="B2239">
        <v>11</v>
      </c>
      <c r="C2239">
        <v>2025</v>
      </c>
      <c r="D2239" s="54">
        <v>45976</v>
      </c>
      <c r="E2239" s="121" t="s">
        <v>249</v>
      </c>
      <c r="F2239" s="76" t="s">
        <v>59</v>
      </c>
      <c r="G2239" s="52">
        <v>-69.05</v>
      </c>
      <c r="H2239" s="32" t="s">
        <v>1989</v>
      </c>
      <c r="I2239" s="32" t="s">
        <v>3278</v>
      </c>
    </row>
    <row r="2240" spans="1:9" ht="18.75">
      <c r="A2240" s="77" t="s">
        <v>3282</v>
      </c>
      <c r="B2240">
        <v>11</v>
      </c>
      <c r="C2240">
        <v>2025</v>
      </c>
      <c r="D2240" s="54">
        <v>45976</v>
      </c>
      <c r="E2240" s="121" t="s">
        <v>249</v>
      </c>
      <c r="F2240" s="76" t="s">
        <v>59</v>
      </c>
      <c r="G2240" s="52">
        <v>-52.2</v>
      </c>
      <c r="H2240" s="32" t="s">
        <v>3283</v>
      </c>
    </row>
    <row r="2241" spans="1:9" ht="18.75">
      <c r="A2241" t="s">
        <v>3284</v>
      </c>
      <c r="B2241">
        <v>11</v>
      </c>
      <c r="C2241">
        <v>2025</v>
      </c>
      <c r="D2241" s="54">
        <v>45976</v>
      </c>
      <c r="E2241" s="121" t="s">
        <v>249</v>
      </c>
      <c r="F2241" s="76" t="s">
        <v>59</v>
      </c>
      <c r="G2241" s="52">
        <v>-8.25</v>
      </c>
      <c r="H2241" s="32" t="s">
        <v>3285</v>
      </c>
    </row>
    <row r="2242" spans="1:9" ht="18.75">
      <c r="A2242" t="s">
        <v>3286</v>
      </c>
      <c r="B2242">
        <v>11</v>
      </c>
      <c r="C2242">
        <v>2025</v>
      </c>
      <c r="D2242" s="54">
        <v>45977</v>
      </c>
      <c r="E2242" s="121" t="s">
        <v>249</v>
      </c>
      <c r="F2242" s="76" t="s">
        <v>47</v>
      </c>
      <c r="G2242" s="52">
        <v>-33.57</v>
      </c>
      <c r="H2242" s="32" t="s">
        <v>1989</v>
      </c>
      <c r="I2242" s="32" t="s">
        <v>3278</v>
      </c>
    </row>
    <row r="2243" spans="1:9" ht="18.75">
      <c r="A2243" t="s">
        <v>3287</v>
      </c>
      <c r="B2243">
        <v>11</v>
      </c>
      <c r="C2243">
        <v>2025</v>
      </c>
      <c r="D2243" s="54">
        <v>45977</v>
      </c>
      <c r="E2243" s="121" t="s">
        <v>249</v>
      </c>
      <c r="F2243" s="76" t="s">
        <v>59</v>
      </c>
      <c r="G2243" s="52">
        <v>-60.86</v>
      </c>
      <c r="H2243" s="32" t="s">
        <v>3283</v>
      </c>
    </row>
    <row r="2244" spans="1:9" ht="18.75">
      <c r="A2244" t="s">
        <v>3288</v>
      </c>
      <c r="B2244">
        <v>11</v>
      </c>
      <c r="C2244">
        <v>2025</v>
      </c>
      <c r="D2244" s="54">
        <v>45977</v>
      </c>
      <c r="E2244" s="121" t="s">
        <v>249</v>
      </c>
      <c r="F2244" s="76" t="s">
        <v>59</v>
      </c>
      <c r="G2244" s="52">
        <v>-9.7799999999999994</v>
      </c>
      <c r="H2244" s="32" t="s">
        <v>3285</v>
      </c>
    </row>
    <row r="2245" spans="1:9" ht="18.75">
      <c r="A2245" t="s">
        <v>3289</v>
      </c>
      <c r="B2245">
        <v>11</v>
      </c>
      <c r="C2245">
        <v>2025</v>
      </c>
      <c r="D2245" s="54">
        <v>45978</v>
      </c>
      <c r="E2245" s="121" t="s">
        <v>160</v>
      </c>
      <c r="F2245" s="76" t="s">
        <v>65</v>
      </c>
      <c r="G2245" s="52">
        <v>300</v>
      </c>
      <c r="H2245" s="32" t="s">
        <v>3290</v>
      </c>
      <c r="I2245" s="32" t="s">
        <v>3291</v>
      </c>
    </row>
    <row r="2246" spans="1:9" ht="18.75">
      <c r="A2246" t="s">
        <v>3292</v>
      </c>
      <c r="B2246">
        <v>11</v>
      </c>
      <c r="C2246">
        <v>2025</v>
      </c>
      <c r="D2246" s="54">
        <v>45978</v>
      </c>
      <c r="E2246" s="121" t="s">
        <v>160</v>
      </c>
      <c r="F2246" s="76" t="s">
        <v>39</v>
      </c>
      <c r="G2246" s="52">
        <v>-125.43</v>
      </c>
      <c r="H2246" s="32" t="s">
        <v>2990</v>
      </c>
    </row>
    <row r="2247" spans="1:9" ht="18.75">
      <c r="A2247" t="s">
        <v>3293</v>
      </c>
      <c r="B2247">
        <v>11</v>
      </c>
      <c r="C2247">
        <v>2025</v>
      </c>
      <c r="D2247" s="54">
        <v>45978</v>
      </c>
      <c r="E2247" s="121" t="s">
        <v>160</v>
      </c>
      <c r="F2247" s="76" t="s">
        <v>51</v>
      </c>
      <c r="G2247" s="52">
        <v>-125.57</v>
      </c>
      <c r="H2247" s="32" t="s">
        <v>210</v>
      </c>
    </row>
    <row r="2248" spans="1:9" ht="18.75">
      <c r="A2248" t="s">
        <v>3294</v>
      </c>
      <c r="B2248">
        <v>11</v>
      </c>
      <c r="C2248">
        <v>2025</v>
      </c>
      <c r="D2248" s="54">
        <v>45978</v>
      </c>
      <c r="E2248" s="121" t="s">
        <v>160</v>
      </c>
      <c r="F2248" s="76" t="s">
        <v>64</v>
      </c>
      <c r="G2248" s="52">
        <v>-302</v>
      </c>
      <c r="H2248" s="32" t="s">
        <v>208</v>
      </c>
    </row>
    <row r="2249" spans="1:9" ht="18.75">
      <c r="A2249" t="s">
        <v>3295</v>
      </c>
      <c r="B2249">
        <v>11</v>
      </c>
      <c r="C2249">
        <v>2025</v>
      </c>
      <c r="D2249" s="54">
        <v>45978</v>
      </c>
      <c r="E2249" s="121" t="s">
        <v>146</v>
      </c>
      <c r="F2249" s="76" t="s">
        <v>47</v>
      </c>
      <c r="G2249" s="52">
        <v>-150</v>
      </c>
      <c r="H2249" s="32" t="s">
        <v>3296</v>
      </c>
      <c r="I2249" s="32" t="s">
        <v>3297</v>
      </c>
    </row>
    <row r="2250" spans="1:9" ht="18.75">
      <c r="A2250" t="s">
        <v>3298</v>
      </c>
      <c r="B2250">
        <v>11</v>
      </c>
      <c r="C2250">
        <v>2025</v>
      </c>
      <c r="D2250" s="54">
        <v>45978</v>
      </c>
      <c r="E2250" s="121" t="s">
        <v>249</v>
      </c>
      <c r="F2250" s="76" t="s">
        <v>79</v>
      </c>
      <c r="G2250" s="52">
        <v>3625.71</v>
      </c>
      <c r="H2250" s="32" t="s">
        <v>1755</v>
      </c>
    </row>
    <row r="2251" spans="1:9" ht="18.75">
      <c r="A2251" t="s">
        <v>3299</v>
      </c>
      <c r="B2251">
        <v>11</v>
      </c>
      <c r="C2251">
        <v>2025</v>
      </c>
      <c r="D2251" s="54">
        <v>45979</v>
      </c>
      <c r="E2251" s="121" t="s">
        <v>160</v>
      </c>
      <c r="F2251" s="76" t="s">
        <v>79</v>
      </c>
      <c r="G2251" s="52">
        <v>-3625.71</v>
      </c>
      <c r="H2251" s="32" t="s">
        <v>214</v>
      </c>
    </row>
    <row r="2252" spans="1:9" ht="18.75">
      <c r="A2252" t="s">
        <v>3300</v>
      </c>
      <c r="B2252">
        <v>11</v>
      </c>
      <c r="C2252">
        <v>2025</v>
      </c>
      <c r="D2252" s="54">
        <v>45979</v>
      </c>
      <c r="E2252" s="121" t="s">
        <v>160</v>
      </c>
      <c r="F2252" s="76" t="s">
        <v>60</v>
      </c>
      <c r="G2252" s="52">
        <v>-78</v>
      </c>
      <c r="H2252" s="32" t="s">
        <v>212</v>
      </c>
    </row>
    <row r="2253" spans="1:9" ht="18.75">
      <c r="A2253" t="s">
        <v>3301</v>
      </c>
      <c r="B2253">
        <v>11</v>
      </c>
      <c r="C2253">
        <v>2025</v>
      </c>
      <c r="D2253" s="54">
        <v>45979</v>
      </c>
      <c r="E2253" s="121" t="s">
        <v>249</v>
      </c>
      <c r="F2253" s="76" t="s">
        <v>57</v>
      </c>
      <c r="G2253" s="52">
        <v>-68.59</v>
      </c>
      <c r="H2253" s="32" t="s">
        <v>351</v>
      </c>
    </row>
    <row r="2254" spans="1:9" ht="18.75">
      <c r="A2254" t="s">
        <v>3302</v>
      </c>
      <c r="B2254">
        <v>11</v>
      </c>
      <c r="C2254">
        <v>2025</v>
      </c>
      <c r="D2254" s="54">
        <v>45980</v>
      </c>
      <c r="E2254" s="121" t="s">
        <v>160</v>
      </c>
      <c r="F2254" s="76" t="s">
        <v>79</v>
      </c>
      <c r="G2254" s="52">
        <v>2664.89</v>
      </c>
      <c r="H2254" s="32" t="s">
        <v>1655</v>
      </c>
    </row>
    <row r="2255" spans="1:9" ht="18.75">
      <c r="A2255" t="s">
        <v>3303</v>
      </c>
      <c r="B2255">
        <v>11</v>
      </c>
      <c r="C2255">
        <v>2025</v>
      </c>
      <c r="D2255" s="54">
        <v>45980</v>
      </c>
      <c r="E2255" s="121" t="s">
        <v>249</v>
      </c>
      <c r="F2255" s="76" t="s">
        <v>47</v>
      </c>
      <c r="G2255" s="52">
        <f>-49.66+-1*G2256</f>
        <v>-34.659999999999997</v>
      </c>
      <c r="H2255" s="32" t="s">
        <v>1708</v>
      </c>
      <c r="I2255" s="32" t="s">
        <v>1773</v>
      </c>
    </row>
    <row r="2256" spans="1:9" ht="18.75">
      <c r="B2256">
        <v>11</v>
      </c>
      <c r="C2256">
        <v>2025</v>
      </c>
      <c r="D2256" s="54">
        <v>45980</v>
      </c>
      <c r="E2256" s="121" t="s">
        <v>249</v>
      </c>
      <c r="F2256" s="76" t="s">
        <v>58</v>
      </c>
      <c r="G2256" s="52">
        <v>-15</v>
      </c>
      <c r="H2256" s="32" t="s">
        <v>1708</v>
      </c>
    </row>
    <row r="2257" spans="1:8" ht="18.75">
      <c r="A2257" t="s">
        <v>3304</v>
      </c>
      <c r="B2257">
        <v>11</v>
      </c>
      <c r="C2257">
        <v>2025</v>
      </c>
      <c r="D2257" s="54">
        <v>45980</v>
      </c>
      <c r="E2257" s="121" t="s">
        <v>249</v>
      </c>
      <c r="F2257" s="76" t="s">
        <v>41</v>
      </c>
      <c r="G2257" s="52">
        <v>-121.21</v>
      </c>
      <c r="H2257" s="32" t="s">
        <v>3305</v>
      </c>
    </row>
    <row r="2258" spans="1:8" ht="18.75">
      <c r="A2258" t="s">
        <v>3306</v>
      </c>
      <c r="B2258">
        <v>11</v>
      </c>
      <c r="C2258">
        <v>2025</v>
      </c>
      <c r="D2258" s="54">
        <v>45980</v>
      </c>
      <c r="E2258" s="121" t="s">
        <v>249</v>
      </c>
      <c r="F2258" s="76" t="s">
        <v>65</v>
      </c>
      <c r="G2258" s="52">
        <v>-1693.87</v>
      </c>
      <c r="H2258" s="32" t="s">
        <v>3307</v>
      </c>
    </row>
    <row r="2259" spans="1:8" ht="18.75">
      <c r="B2259">
        <v>11</v>
      </c>
      <c r="C2259">
        <v>2025</v>
      </c>
      <c r="D2259" s="54">
        <v>45991</v>
      </c>
      <c r="E2259" s="121" t="s">
        <v>249</v>
      </c>
      <c r="F2259" s="76" t="s">
        <v>65</v>
      </c>
      <c r="G2259" s="52">
        <v>1500</v>
      </c>
      <c r="H2259" s="32" t="s">
        <v>3308</v>
      </c>
    </row>
    <row r="2260" spans="1:8" ht="18.75">
      <c r="A2260" t="s">
        <v>3309</v>
      </c>
      <c r="B2260">
        <v>11</v>
      </c>
      <c r="C2260">
        <v>2025</v>
      </c>
      <c r="D2260" s="54">
        <v>45980</v>
      </c>
      <c r="E2260" s="121" t="s">
        <v>249</v>
      </c>
      <c r="F2260" s="76" t="s">
        <v>44</v>
      </c>
      <c r="G2260" s="52">
        <v>-33.9</v>
      </c>
      <c r="H2260" s="32" t="s">
        <v>3310</v>
      </c>
    </row>
    <row r="2261" spans="1:8" ht="18.75">
      <c r="A2261" t="s">
        <v>3311</v>
      </c>
      <c r="B2261">
        <v>11</v>
      </c>
      <c r="C2261">
        <v>2025</v>
      </c>
      <c r="D2261" s="54">
        <v>45980</v>
      </c>
      <c r="E2261" s="121" t="s">
        <v>249</v>
      </c>
      <c r="F2261" s="76" t="s">
        <v>58</v>
      </c>
      <c r="G2261" s="52">
        <v>-10.97</v>
      </c>
      <c r="H2261" s="32" t="s">
        <v>3312</v>
      </c>
    </row>
    <row r="2262" spans="1:8" ht="18.75">
      <c r="A2262" t="s">
        <v>3313</v>
      </c>
      <c r="B2262">
        <v>11</v>
      </c>
      <c r="C2262">
        <v>2025</v>
      </c>
      <c r="D2262" s="54">
        <v>45980</v>
      </c>
      <c r="E2262" s="121" t="s">
        <v>249</v>
      </c>
      <c r="F2262" s="76" t="s">
        <v>44</v>
      </c>
      <c r="G2262" s="52">
        <v>-29.38</v>
      </c>
      <c r="H2262" s="32" t="s">
        <v>282</v>
      </c>
    </row>
    <row r="2263" spans="1:8" ht="18.75">
      <c r="A2263" t="s">
        <v>3314</v>
      </c>
      <c r="B2263">
        <v>11</v>
      </c>
      <c r="C2263">
        <v>2025</v>
      </c>
      <c r="D2263" s="54">
        <v>45981</v>
      </c>
      <c r="E2263" s="121" t="s">
        <v>160</v>
      </c>
      <c r="F2263" s="76" t="s">
        <v>79</v>
      </c>
      <c r="G2263" s="52">
        <v>1327.81</v>
      </c>
      <c r="H2263" s="32" t="s">
        <v>190</v>
      </c>
    </row>
    <row r="2264" spans="1:8" ht="18.75">
      <c r="A2264" t="s">
        <v>3315</v>
      </c>
      <c r="B2264">
        <v>11</v>
      </c>
      <c r="C2264">
        <v>2025</v>
      </c>
      <c r="D2264" s="54">
        <v>45982</v>
      </c>
      <c r="E2264" s="121" t="s">
        <v>160</v>
      </c>
      <c r="F2264" s="76" t="s">
        <v>63</v>
      </c>
      <c r="G2264" s="52">
        <v>-98.65</v>
      </c>
      <c r="H2264" s="32" t="s">
        <v>224</v>
      </c>
    </row>
    <row r="2265" spans="1:8" ht="18.75">
      <c r="A2265" t="s">
        <v>3316</v>
      </c>
      <c r="B2265">
        <v>11</v>
      </c>
      <c r="C2265">
        <v>2025</v>
      </c>
      <c r="D2265" s="54">
        <v>45982</v>
      </c>
      <c r="E2265" s="121" t="s">
        <v>249</v>
      </c>
      <c r="F2265" s="76" t="s">
        <v>34</v>
      </c>
      <c r="G2265" s="52">
        <v>-46.81</v>
      </c>
      <c r="H2265" s="32" t="s">
        <v>3317</v>
      </c>
    </row>
    <row r="2266" spans="1:8" ht="18.75">
      <c r="A2266" t="s">
        <v>3318</v>
      </c>
      <c r="B2266">
        <v>11</v>
      </c>
      <c r="C2266">
        <v>2025</v>
      </c>
      <c r="D2266" s="54">
        <v>45982</v>
      </c>
      <c r="E2266" s="121" t="s">
        <v>249</v>
      </c>
      <c r="F2266" s="76" t="s">
        <v>32</v>
      </c>
      <c r="G2266" s="52">
        <v>-41.74</v>
      </c>
      <c r="H2266" s="32" t="s">
        <v>2829</v>
      </c>
    </row>
    <row r="2267" spans="1:8" ht="18.75">
      <c r="A2267" t="s">
        <v>3319</v>
      </c>
      <c r="B2267">
        <v>11</v>
      </c>
      <c r="C2267">
        <v>2025</v>
      </c>
      <c r="D2267" s="54">
        <v>45982</v>
      </c>
      <c r="E2267" s="121" t="s">
        <v>249</v>
      </c>
      <c r="F2267" s="76" t="s">
        <v>45</v>
      </c>
      <c r="G2267" s="52">
        <v>-20.010000000000002</v>
      </c>
      <c r="H2267" s="32" t="s">
        <v>3320</v>
      </c>
    </row>
    <row r="2268" spans="1:8" ht="18.75">
      <c r="A2268" t="s">
        <v>3321</v>
      </c>
      <c r="B2268">
        <v>11</v>
      </c>
      <c r="C2268">
        <v>2025</v>
      </c>
      <c r="D2268" s="54">
        <v>45983</v>
      </c>
      <c r="E2268" s="121" t="s">
        <v>249</v>
      </c>
      <c r="F2268" s="76" t="s">
        <v>47</v>
      </c>
      <c r="G2268" s="52">
        <v>-29.91</v>
      </c>
      <c r="H2268" s="32" t="s">
        <v>3322</v>
      </c>
    </row>
    <row r="2269" spans="1:8" ht="18.75">
      <c r="A2269" t="s">
        <v>3323</v>
      </c>
      <c r="B2269">
        <v>11</v>
      </c>
      <c r="C2269">
        <v>2025</v>
      </c>
      <c r="D2269" s="54">
        <v>45983</v>
      </c>
      <c r="E2269" s="121" t="s">
        <v>249</v>
      </c>
      <c r="F2269" s="76" t="s">
        <v>65</v>
      </c>
      <c r="G2269" s="52">
        <v>-26.88</v>
      </c>
      <c r="H2269" s="32" t="s">
        <v>3324</v>
      </c>
    </row>
    <row r="2270" spans="1:8" ht="18.75">
      <c r="A2270" t="s">
        <v>3325</v>
      </c>
      <c r="B2270">
        <v>11</v>
      </c>
      <c r="C2270">
        <v>2025</v>
      </c>
      <c r="D2270" s="54">
        <v>45983</v>
      </c>
      <c r="E2270" s="121" t="s">
        <v>249</v>
      </c>
      <c r="F2270" s="76" t="s">
        <v>62</v>
      </c>
      <c r="G2270" s="52">
        <v>-29.95</v>
      </c>
      <c r="H2270" s="32" t="s">
        <v>3326</v>
      </c>
    </row>
    <row r="2271" spans="1:8" ht="18.75">
      <c r="A2271" t="s">
        <v>3327</v>
      </c>
      <c r="B2271">
        <v>11</v>
      </c>
      <c r="C2271">
        <v>2025</v>
      </c>
      <c r="D2271" s="54">
        <v>45983</v>
      </c>
      <c r="E2271" s="121" t="s">
        <v>249</v>
      </c>
      <c r="F2271" s="76" t="s">
        <v>34</v>
      </c>
      <c r="G2271" s="52">
        <v>-5</v>
      </c>
      <c r="H2271" s="32" t="s">
        <v>3328</v>
      </c>
    </row>
    <row r="2272" spans="1:8" ht="18.75">
      <c r="A2272" t="s">
        <v>3329</v>
      </c>
      <c r="B2272">
        <v>11</v>
      </c>
      <c r="C2272">
        <v>2025</v>
      </c>
      <c r="D2272" s="54">
        <v>45983</v>
      </c>
      <c r="E2272" s="121" t="s">
        <v>249</v>
      </c>
      <c r="F2272" s="76" t="s">
        <v>62</v>
      </c>
      <c r="G2272" s="52">
        <v>-32.450000000000003</v>
      </c>
      <c r="H2272" s="32" t="s">
        <v>3330</v>
      </c>
    </row>
    <row r="2273" spans="1:8" ht="18.75">
      <c r="A2273" t="s">
        <v>3331</v>
      </c>
      <c r="B2273">
        <v>11</v>
      </c>
      <c r="C2273">
        <v>2025</v>
      </c>
      <c r="D2273" s="54">
        <v>45984</v>
      </c>
      <c r="E2273" s="121" t="s">
        <v>249</v>
      </c>
      <c r="F2273" s="76" t="s">
        <v>34</v>
      </c>
      <c r="G2273" s="52">
        <v>-33.33</v>
      </c>
      <c r="H2273" s="32" t="s">
        <v>3332</v>
      </c>
    </row>
    <row r="2274" spans="1:8" ht="18.75">
      <c r="A2274" t="s">
        <v>3333</v>
      </c>
      <c r="B2274">
        <v>11</v>
      </c>
      <c r="C2274">
        <v>2025</v>
      </c>
      <c r="D2274" s="54">
        <v>45984</v>
      </c>
      <c r="E2274" s="121" t="s">
        <v>249</v>
      </c>
      <c r="F2274" s="76" t="s">
        <v>32</v>
      </c>
      <c r="G2274" s="52">
        <v>-0.3</v>
      </c>
      <c r="H2274" s="32" t="s">
        <v>3334</v>
      </c>
    </row>
    <row r="2275" spans="1:8" ht="18.75">
      <c r="A2275" t="s">
        <v>3335</v>
      </c>
      <c r="B2275">
        <v>11</v>
      </c>
      <c r="C2275">
        <v>2025</v>
      </c>
      <c r="D2275" s="54">
        <v>45984</v>
      </c>
      <c r="E2275" s="121" t="s">
        <v>249</v>
      </c>
      <c r="F2275" s="76" t="s">
        <v>32</v>
      </c>
      <c r="G2275" s="52">
        <v>-47.02</v>
      </c>
      <c r="H2275" s="32" t="s">
        <v>3334</v>
      </c>
    </row>
    <row r="2276" spans="1:8" ht="18.75">
      <c r="B2276">
        <v>11</v>
      </c>
      <c r="C2276">
        <v>2025</v>
      </c>
      <c r="D2276" s="54">
        <v>45991</v>
      </c>
      <c r="E2276" s="42" t="s">
        <v>146</v>
      </c>
      <c r="F2276" s="76" t="s">
        <v>49</v>
      </c>
      <c r="G2276" s="52">
        <v>100</v>
      </c>
      <c r="H2276" s="32" t="s">
        <v>3336</v>
      </c>
    </row>
    <row r="2277" spans="1:8" ht="18.75">
      <c r="A2277" t="s">
        <v>3337</v>
      </c>
      <c r="B2277">
        <v>11</v>
      </c>
      <c r="C2277">
        <v>2025</v>
      </c>
      <c r="D2277" s="54">
        <v>45985</v>
      </c>
      <c r="E2277" s="121" t="s">
        <v>160</v>
      </c>
      <c r="F2277" s="76" t="s">
        <v>29</v>
      </c>
      <c r="G2277" s="52">
        <v>-221.5</v>
      </c>
      <c r="H2277" s="32" t="s">
        <v>167</v>
      </c>
    </row>
    <row r="2278" spans="1:8" ht="18.75">
      <c r="A2278" t="s">
        <v>3338</v>
      </c>
      <c r="B2278">
        <v>11</v>
      </c>
      <c r="C2278">
        <v>2025</v>
      </c>
      <c r="D2278" s="54">
        <v>45985</v>
      </c>
      <c r="E2278" s="121" t="s">
        <v>249</v>
      </c>
      <c r="F2278" s="76" t="s">
        <v>58</v>
      </c>
      <c r="G2278" s="52">
        <v>-22.58</v>
      </c>
      <c r="H2278" s="32" t="s">
        <v>282</v>
      </c>
    </row>
    <row r="2279" spans="1:8" ht="18.75">
      <c r="A2279" t="s">
        <v>3339</v>
      </c>
      <c r="B2279">
        <v>11</v>
      </c>
      <c r="C2279">
        <v>2025</v>
      </c>
      <c r="D2279" s="54">
        <v>45985</v>
      </c>
      <c r="E2279" s="121" t="s">
        <v>249</v>
      </c>
      <c r="F2279" s="76" t="s">
        <v>52</v>
      </c>
      <c r="G2279" s="52">
        <v>-87.94</v>
      </c>
      <c r="H2279" s="32" t="s">
        <v>282</v>
      </c>
    </row>
    <row r="2280" spans="1:8" ht="18.75">
      <c r="A2280" t="s">
        <v>3340</v>
      </c>
      <c r="B2280">
        <v>11</v>
      </c>
      <c r="C2280">
        <v>2025</v>
      </c>
      <c r="D2280" s="54">
        <v>45985</v>
      </c>
      <c r="E2280" s="121" t="s">
        <v>249</v>
      </c>
      <c r="F2280" s="76" t="s">
        <v>55</v>
      </c>
      <c r="G2280" s="52">
        <v>-35.79</v>
      </c>
      <c r="H2280" s="32" t="s">
        <v>282</v>
      </c>
    </row>
    <row r="2281" spans="1:8" ht="18.75">
      <c r="A2281" t="s">
        <v>3341</v>
      </c>
      <c r="B2281">
        <v>11</v>
      </c>
      <c r="C2281">
        <v>2025</v>
      </c>
      <c r="D2281" s="54">
        <v>45985</v>
      </c>
      <c r="E2281" s="121" t="s">
        <v>249</v>
      </c>
      <c r="F2281" s="76" t="s">
        <v>57</v>
      </c>
      <c r="G2281" s="52">
        <v>-135.63</v>
      </c>
      <c r="H2281" s="32" t="s">
        <v>282</v>
      </c>
    </row>
    <row r="2282" spans="1:8" ht="18.75">
      <c r="A2282" t="s">
        <v>3342</v>
      </c>
      <c r="B2282">
        <v>11</v>
      </c>
      <c r="C2282">
        <v>2025</v>
      </c>
      <c r="D2282" s="54">
        <v>45986</v>
      </c>
      <c r="E2282" s="121" t="s">
        <v>160</v>
      </c>
      <c r="F2282" s="76" t="s">
        <v>43</v>
      </c>
      <c r="G2282" s="52">
        <v>-9.0299999999999994</v>
      </c>
      <c r="H2282" s="32" t="s">
        <v>163</v>
      </c>
    </row>
    <row r="2283" spans="1:8" ht="18.75">
      <c r="A2283" t="s">
        <v>3343</v>
      </c>
      <c r="B2283">
        <v>11</v>
      </c>
      <c r="C2283">
        <v>2025</v>
      </c>
      <c r="D2283" s="54">
        <v>45986</v>
      </c>
      <c r="E2283" s="121" t="s">
        <v>160</v>
      </c>
      <c r="F2283" s="76" t="s">
        <v>48</v>
      </c>
      <c r="G2283" s="52">
        <v>-4</v>
      </c>
      <c r="H2283" s="32" t="s">
        <v>228</v>
      </c>
    </row>
    <row r="2284" spans="1:8" ht="18.75">
      <c r="A2284" t="s">
        <v>3344</v>
      </c>
      <c r="B2284">
        <v>11</v>
      </c>
      <c r="C2284">
        <v>2025</v>
      </c>
      <c r="D2284" s="54">
        <v>45986</v>
      </c>
      <c r="E2284" s="121" t="s">
        <v>160</v>
      </c>
      <c r="F2284" s="76" t="s">
        <v>48</v>
      </c>
      <c r="G2284" s="52">
        <v>-6.25</v>
      </c>
      <c r="H2284" s="32" t="s">
        <v>345</v>
      </c>
    </row>
    <row r="2285" spans="1:8" ht="18.75">
      <c r="A2285" t="s">
        <v>3345</v>
      </c>
      <c r="B2285">
        <v>11</v>
      </c>
      <c r="C2285">
        <v>2025</v>
      </c>
      <c r="D2285" s="54">
        <v>45986</v>
      </c>
      <c r="E2285" s="121" t="s">
        <v>249</v>
      </c>
      <c r="F2285" s="76" t="s">
        <v>41</v>
      </c>
      <c r="G2285" s="52">
        <v>-18.25</v>
      </c>
      <c r="H2285" s="32" t="s">
        <v>359</v>
      </c>
    </row>
    <row r="2286" spans="1:8" ht="18.75">
      <c r="A2286" t="s">
        <v>3346</v>
      </c>
      <c r="B2286">
        <v>11</v>
      </c>
      <c r="C2286">
        <v>2025</v>
      </c>
      <c r="D2286" s="54">
        <v>45987</v>
      </c>
      <c r="E2286" s="121" t="s">
        <v>249</v>
      </c>
      <c r="F2286" s="76" t="s">
        <v>34</v>
      </c>
      <c r="G2286" s="52">
        <v>-763.64</v>
      </c>
      <c r="H2286" s="32" t="s">
        <v>3347</v>
      </c>
    </row>
    <row r="2287" spans="1:8" ht="18.75">
      <c r="B2287">
        <v>11</v>
      </c>
      <c r="C2287">
        <v>2025</v>
      </c>
      <c r="D2287" s="54">
        <v>45991</v>
      </c>
      <c r="E2287" s="121" t="s">
        <v>3348</v>
      </c>
      <c r="F2287" s="76" t="s">
        <v>34</v>
      </c>
      <c r="G2287" s="52">
        <v>509.09</v>
      </c>
      <c r="H2287" s="32" t="s">
        <v>3349</v>
      </c>
    </row>
    <row r="2288" spans="1:8" ht="18.75">
      <c r="B2288">
        <v>11</v>
      </c>
      <c r="C2288">
        <v>2025</v>
      </c>
      <c r="D2288" s="54">
        <v>45991</v>
      </c>
      <c r="E2288" s="121" t="s">
        <v>3348</v>
      </c>
      <c r="F2288" s="76" t="s">
        <v>55</v>
      </c>
      <c r="G2288" s="52">
        <v>400</v>
      </c>
      <c r="H2288" s="32" t="s">
        <v>3350</v>
      </c>
    </row>
    <row r="2289" spans="1:8" ht="18.75">
      <c r="B2289">
        <v>11</v>
      </c>
      <c r="C2289">
        <v>2025</v>
      </c>
      <c r="D2289" s="54">
        <v>45991</v>
      </c>
      <c r="E2289" s="121" t="s">
        <v>3348</v>
      </c>
      <c r="F2289" s="76" t="s">
        <v>44</v>
      </c>
      <c r="G2289" s="52">
        <f>G2288*-1</f>
        <v>-400</v>
      </c>
      <c r="H2289" s="32" t="s">
        <v>3351</v>
      </c>
    </row>
    <row r="2290" spans="1:8" ht="18.75">
      <c r="A2290" t="s">
        <v>3352</v>
      </c>
      <c r="B2290">
        <v>11</v>
      </c>
      <c r="C2290">
        <v>2025</v>
      </c>
      <c r="D2290" s="54">
        <v>45987</v>
      </c>
      <c r="E2290" s="121" t="s">
        <v>249</v>
      </c>
      <c r="F2290" s="76" t="s">
        <v>35</v>
      </c>
      <c r="G2290" s="52">
        <v>-62.13</v>
      </c>
      <c r="H2290" s="32" t="s">
        <v>2907</v>
      </c>
    </row>
    <row r="2291" spans="1:8" ht="18.75">
      <c r="A2291" t="s">
        <v>3353</v>
      </c>
      <c r="B2291">
        <v>11</v>
      </c>
      <c r="C2291">
        <v>2025</v>
      </c>
      <c r="D2291" s="54">
        <v>45987</v>
      </c>
      <c r="E2291" s="121" t="s">
        <v>249</v>
      </c>
      <c r="F2291" s="76" t="s">
        <v>55</v>
      </c>
      <c r="G2291" s="52">
        <v>-28.94</v>
      </c>
      <c r="H2291" s="32" t="s">
        <v>2120</v>
      </c>
    </row>
    <row r="2292" spans="1:8" ht="18.75">
      <c r="A2292" t="s">
        <v>3354</v>
      </c>
      <c r="B2292">
        <v>11</v>
      </c>
      <c r="C2292">
        <v>2025</v>
      </c>
      <c r="D2292" s="54">
        <v>45988</v>
      </c>
      <c r="E2292" s="121" t="s">
        <v>160</v>
      </c>
      <c r="F2292" s="76" t="s">
        <v>36</v>
      </c>
      <c r="G2292" s="52">
        <v>-37.71</v>
      </c>
      <c r="H2292" s="32" t="s">
        <v>3355</v>
      </c>
    </row>
    <row r="2293" spans="1:8" ht="18.75">
      <c r="A2293" t="s">
        <v>3356</v>
      </c>
      <c r="B2293">
        <v>11</v>
      </c>
      <c r="C2293">
        <v>2025</v>
      </c>
      <c r="D2293" s="54">
        <v>45989</v>
      </c>
      <c r="E2293" s="121" t="s">
        <v>160</v>
      </c>
      <c r="F2293" s="76" t="s">
        <v>65</v>
      </c>
      <c r="G2293" s="52">
        <v>16</v>
      </c>
      <c r="H2293" s="32" t="s">
        <v>3357</v>
      </c>
    </row>
    <row r="2294" spans="1:8" ht="18.75">
      <c r="A2294" t="s">
        <v>3358</v>
      </c>
      <c r="B2294">
        <v>11</v>
      </c>
      <c r="C2294">
        <v>2025</v>
      </c>
      <c r="D2294" s="54">
        <v>45989</v>
      </c>
      <c r="E2294" s="121" t="s">
        <v>160</v>
      </c>
      <c r="F2294" s="76" t="s">
        <v>33</v>
      </c>
      <c r="G2294" s="52">
        <v>-443.25</v>
      </c>
      <c r="H2294" s="32" t="s">
        <v>3002</v>
      </c>
    </row>
    <row r="2295" spans="1:8">
      <c r="E2295"/>
    </row>
    <row r="2296" spans="1:8">
      <c r="E2296"/>
    </row>
    <row r="2297" spans="1:8">
      <c r="B2297" s="117"/>
      <c r="C2297" s="118"/>
    </row>
    <row r="2298" spans="1:8">
      <c r="B2298" s="117"/>
      <c r="C2298" s="118"/>
    </row>
    <row r="2299" spans="1:8">
      <c r="B2299" s="117"/>
      <c r="C2299" s="118"/>
      <c r="F2299" s="113"/>
    </row>
    <row r="2300" spans="1:8">
      <c r="G2300" s="52"/>
    </row>
    <row r="2301" spans="1:8">
      <c r="G2301" s="52"/>
    </row>
    <row r="2306" spans="7:7">
      <c r="G2306" s="52"/>
    </row>
  </sheetData>
  <dataValidations count="1">
    <dataValidation type="list" allowBlank="1" showInputMessage="1" showErrorMessage="1" sqref="G520:G526 G528:G535 G537:G665 G669 G671 G674:G676 G2:G518 G679:G1785 G1787:G2048 G2055:G2294 F2:F2294" xr:uid="{9187486B-0CC6-4475-AE0B-D120A06C31DF}">
      <formula1>Expenses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CA45-B15F-4551-A336-866A6F1B1810}">
  <dimension ref="A1"/>
  <sheetViews>
    <sheetView workbookViewId="0">
      <selection activeCell="A2" sqref="A2"/>
    </sheetView>
  </sheetViews>
  <sheetFormatPr defaultRowHeight="15"/>
  <sheetData>
    <row r="1" spans="1:1">
      <c r="A1" t="s">
        <v>3359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99E1-0D29-4B12-A4E7-1135DB9A806C}">
  <dimension ref="A1:I985"/>
  <sheetViews>
    <sheetView workbookViewId="0">
      <pane ySplit="1" topLeftCell="A924" activePane="bottomLeft" state="frozen"/>
      <selection pane="bottomLeft" activeCell="H4" sqref="H4"/>
    </sheetView>
  </sheetViews>
  <sheetFormatPr defaultRowHeight="15"/>
  <cols>
    <col min="1" max="1" width="9.85546875" style="58" customWidth="1"/>
    <col min="2" max="2" width="9.85546875" style="56" customWidth="1"/>
    <col min="3" max="3" width="17.42578125" bestFit="1" customWidth="1"/>
    <col min="4" max="5" width="14.140625" customWidth="1"/>
    <col min="6" max="6" width="17" customWidth="1"/>
  </cols>
  <sheetData>
    <row r="1" spans="1:6" ht="15.75" thickBot="1">
      <c r="A1" s="55" t="s">
        <v>21</v>
      </c>
      <c r="B1" s="55" t="s">
        <v>22</v>
      </c>
      <c r="C1" s="50" t="s">
        <v>3360</v>
      </c>
      <c r="D1" s="50" t="s">
        <v>3361</v>
      </c>
      <c r="E1" s="50" t="s">
        <v>3362</v>
      </c>
      <c r="F1" s="50" t="s">
        <v>3363</v>
      </c>
    </row>
    <row r="2" spans="1:6" ht="12.75" customHeight="1">
      <c r="A2" s="57">
        <v>3</v>
      </c>
      <c r="B2" s="78">
        <v>2024</v>
      </c>
      <c r="C2" s="79" t="s">
        <v>5</v>
      </c>
      <c r="D2" s="79">
        <v>0</v>
      </c>
      <c r="E2" s="79">
        <v>0</v>
      </c>
      <c r="F2" s="79">
        <v>500</v>
      </c>
    </row>
    <row r="3" spans="1:6">
      <c r="A3" s="57">
        <v>2</v>
      </c>
      <c r="B3" s="78">
        <v>2024</v>
      </c>
      <c r="C3" s="79" t="s">
        <v>5</v>
      </c>
      <c r="D3" s="79">
        <v>0</v>
      </c>
      <c r="E3" s="79">
        <v>0</v>
      </c>
      <c r="F3" s="79">
        <v>0</v>
      </c>
    </row>
    <row r="4" spans="1:6">
      <c r="A4" s="57">
        <v>4</v>
      </c>
      <c r="B4" s="78">
        <v>2024</v>
      </c>
      <c r="C4" s="79" t="s">
        <v>5</v>
      </c>
      <c r="D4" s="79">
        <v>0</v>
      </c>
      <c r="E4" s="79">
        <v>500</v>
      </c>
      <c r="F4" s="79">
        <v>1000</v>
      </c>
    </row>
    <row r="5" spans="1:6">
      <c r="A5" s="57">
        <v>5</v>
      </c>
      <c r="B5" s="78">
        <v>2024</v>
      </c>
      <c r="C5" s="79" t="s">
        <v>5</v>
      </c>
      <c r="D5" s="79">
        <v>0</v>
      </c>
      <c r="E5" s="79">
        <v>1000</v>
      </c>
      <c r="F5" s="79">
        <v>1840.2777777777781</v>
      </c>
    </row>
    <row r="6" spans="1:6">
      <c r="A6" s="57">
        <v>6</v>
      </c>
      <c r="B6" s="78">
        <v>2024</v>
      </c>
      <c r="C6" s="79" t="s">
        <v>5</v>
      </c>
      <c r="D6" s="79">
        <v>0</v>
      </c>
      <c r="E6" s="79">
        <v>1840.2777777777801</v>
      </c>
      <c r="F6" s="79">
        <v>2680.5555555555584</v>
      </c>
    </row>
    <row r="7" spans="1:6">
      <c r="A7" s="57">
        <v>7</v>
      </c>
      <c r="B7" s="78">
        <v>2024</v>
      </c>
      <c r="C7" s="79" t="s">
        <v>5</v>
      </c>
      <c r="D7" s="79">
        <v>0</v>
      </c>
      <c r="E7" s="79">
        <v>2680.5555555555602</v>
      </c>
      <c r="F7" s="79">
        <v>3377.9761904761954</v>
      </c>
    </row>
    <row r="8" spans="1:6">
      <c r="A8" s="57">
        <v>8</v>
      </c>
      <c r="B8" s="78">
        <v>2024</v>
      </c>
      <c r="C8" s="79" t="s">
        <v>5</v>
      </c>
      <c r="D8" s="79">
        <v>0</v>
      </c>
      <c r="E8" s="79">
        <v>3377.9761904761999</v>
      </c>
      <c r="F8" s="79">
        <v>4075.3968253968351</v>
      </c>
    </row>
    <row r="9" spans="1:6">
      <c r="A9" s="57">
        <v>9</v>
      </c>
      <c r="B9" s="78">
        <v>2024</v>
      </c>
      <c r="C9" s="79" t="s">
        <v>5</v>
      </c>
      <c r="D9" s="79">
        <v>0</v>
      </c>
      <c r="E9" s="79">
        <v>4075.3968253968401</v>
      </c>
      <c r="F9" s="79">
        <v>4995.7937698412843</v>
      </c>
    </row>
    <row r="10" spans="1:6">
      <c r="A10" s="57">
        <v>10</v>
      </c>
      <c r="B10" s="78">
        <v>2024</v>
      </c>
      <c r="C10" s="79" t="s">
        <v>5</v>
      </c>
      <c r="D10" s="79">
        <v>0</v>
      </c>
      <c r="E10" s="79">
        <v>4995.7937698412798</v>
      </c>
      <c r="F10" s="79">
        <v>6276.60460317461</v>
      </c>
    </row>
    <row r="11" spans="1:6">
      <c r="A11" s="57">
        <v>11</v>
      </c>
      <c r="B11" s="78">
        <v>2024</v>
      </c>
      <c r="C11" s="79" t="s">
        <v>5</v>
      </c>
      <c r="D11" s="79">
        <v>0</v>
      </c>
      <c r="E11" s="79">
        <v>6276.60460317461</v>
      </c>
      <c r="F11" s="79">
        <v>7557.4154365079403</v>
      </c>
    </row>
    <row r="12" spans="1:6">
      <c r="A12" s="57">
        <v>12</v>
      </c>
      <c r="B12" s="78">
        <v>2024</v>
      </c>
      <c r="C12" s="79" t="s">
        <v>5</v>
      </c>
      <c r="D12" s="79">
        <v>0</v>
      </c>
      <c r="E12" s="79">
        <v>7557.4154365079403</v>
      </c>
      <c r="F12" s="79">
        <v>8640.2496031746105</v>
      </c>
    </row>
    <row r="13" spans="1:6">
      <c r="A13" s="57">
        <v>1</v>
      </c>
      <c r="B13" s="78">
        <v>2025</v>
      </c>
      <c r="C13" s="79" t="s">
        <v>5</v>
      </c>
      <c r="D13" s="79">
        <v>0</v>
      </c>
      <c r="E13" s="79">
        <v>8640.2496031746105</v>
      </c>
      <c r="F13" s="79">
        <v>9723.0837698412797</v>
      </c>
    </row>
    <row r="14" spans="1:6">
      <c r="A14" s="57">
        <v>2</v>
      </c>
      <c r="B14" s="78">
        <v>2025</v>
      </c>
      <c r="C14" s="79" t="s">
        <v>5</v>
      </c>
      <c r="D14" s="79">
        <v>0</v>
      </c>
      <c r="E14" s="79">
        <v>9723.0837698412797</v>
      </c>
      <c r="F14" s="79">
        <v>10805.917936507947</v>
      </c>
    </row>
    <row r="15" spans="1:6">
      <c r="A15" s="57">
        <v>3</v>
      </c>
      <c r="B15" s="78">
        <v>2025</v>
      </c>
      <c r="C15" s="79" t="s">
        <v>5</v>
      </c>
      <c r="D15" s="79">
        <v>0</v>
      </c>
      <c r="E15" s="79">
        <v>10805.9179365079</v>
      </c>
      <c r="F15" s="79">
        <v>11938.0604365079</v>
      </c>
    </row>
    <row r="16" spans="1:6">
      <c r="A16" s="57">
        <v>4</v>
      </c>
      <c r="B16" s="78">
        <v>2025</v>
      </c>
      <c r="C16" s="79" t="s">
        <v>5</v>
      </c>
      <c r="D16" s="79">
        <v>0</v>
      </c>
      <c r="E16" s="79">
        <v>11938.0604365079</v>
      </c>
      <c r="F16" s="79">
        <v>13254.17710317457</v>
      </c>
    </row>
    <row r="17" spans="1:9">
      <c r="A17" s="57">
        <v>5</v>
      </c>
      <c r="B17" s="78">
        <v>2025</v>
      </c>
      <c r="C17" s="79" t="s">
        <v>5</v>
      </c>
      <c r="D17" s="79">
        <v>0</v>
      </c>
      <c r="E17" s="79">
        <v>13254.177103174599</v>
      </c>
      <c r="F17" s="79">
        <v>14220.293769841266</v>
      </c>
    </row>
    <row r="18" spans="1:9">
      <c r="A18" s="57">
        <v>6</v>
      </c>
      <c r="B18" s="78">
        <v>2025</v>
      </c>
      <c r="C18" s="79" t="s">
        <v>5</v>
      </c>
      <c r="D18" s="79">
        <v>0</v>
      </c>
      <c r="E18" s="79">
        <v>14220.293769841301</v>
      </c>
      <c r="F18" s="79">
        <v>15511.96043650797</v>
      </c>
    </row>
    <row r="19" spans="1:9">
      <c r="A19" s="57">
        <v>7</v>
      </c>
      <c r="B19" s="78">
        <v>2025</v>
      </c>
      <c r="C19" s="79" t="s">
        <v>5</v>
      </c>
      <c r="D19" s="79">
        <v>0</v>
      </c>
      <c r="E19" s="79">
        <v>15511.960436507999</v>
      </c>
      <c r="F19" s="79">
        <v>16565.073989621549</v>
      </c>
    </row>
    <row r="20" spans="1:9">
      <c r="A20" s="57">
        <v>8</v>
      </c>
      <c r="B20" s="78">
        <v>2025</v>
      </c>
      <c r="C20" s="79" t="s">
        <v>5</v>
      </c>
      <c r="D20" s="79">
        <v>0</v>
      </c>
      <c r="E20" s="79">
        <v>16565.073989621498</v>
      </c>
      <c r="F20" s="79">
        <v>17618.18754273505</v>
      </c>
    </row>
    <row r="21" spans="1:9">
      <c r="A21" s="57">
        <v>9</v>
      </c>
      <c r="B21" s="78">
        <v>2025</v>
      </c>
      <c r="C21" s="79" t="s">
        <v>5</v>
      </c>
      <c r="D21" s="79">
        <v>0</v>
      </c>
      <c r="E21" s="79">
        <v>17618.187542734999</v>
      </c>
      <c r="F21" s="79">
        <v>18671.30109584855</v>
      </c>
    </row>
    <row r="22" spans="1:9">
      <c r="A22" s="57">
        <v>10</v>
      </c>
      <c r="B22" s="78">
        <v>2025</v>
      </c>
      <c r="C22" s="79" t="s">
        <v>5</v>
      </c>
      <c r="D22" s="79">
        <v>0</v>
      </c>
      <c r="E22" s="79">
        <v>18671.301095848601</v>
      </c>
      <c r="F22" s="79">
        <v>19724.52532203908</v>
      </c>
    </row>
    <row r="23" spans="1:9">
      <c r="A23" s="57">
        <v>11</v>
      </c>
      <c r="B23" s="78">
        <v>2025</v>
      </c>
      <c r="C23" s="79" t="s">
        <v>5</v>
      </c>
      <c r="D23" s="79">
        <v>0</v>
      </c>
      <c r="E23" s="79">
        <v>19724.525322039099</v>
      </c>
      <c r="F23" s="79">
        <v>20777.749548229578</v>
      </c>
    </row>
    <row r="24" spans="1:9">
      <c r="A24" s="57">
        <v>12</v>
      </c>
      <c r="B24" s="78">
        <v>2025</v>
      </c>
      <c r="C24" s="79" t="s">
        <v>5</v>
      </c>
      <c r="D24" s="79">
        <v>0</v>
      </c>
      <c r="E24" s="79">
        <v>20777.7495482296</v>
      </c>
      <c r="F24" s="79">
        <v>21575.093774420075</v>
      </c>
    </row>
    <row r="25" spans="1:9">
      <c r="A25" s="57">
        <v>1</v>
      </c>
      <c r="B25" s="78">
        <v>2024</v>
      </c>
      <c r="C25" s="79" t="s">
        <v>50</v>
      </c>
      <c r="D25" s="79">
        <v>0</v>
      </c>
      <c r="E25" s="79">
        <v>141.44999999999999</v>
      </c>
      <c r="F25" s="79">
        <v>141.44999999999999</v>
      </c>
    </row>
    <row r="26" spans="1:9">
      <c r="A26" s="57">
        <v>2</v>
      </c>
      <c r="B26" s="78">
        <v>2024</v>
      </c>
      <c r="C26" s="79" t="s">
        <v>50</v>
      </c>
      <c r="D26" s="79">
        <v>0</v>
      </c>
      <c r="E26" s="79">
        <v>141.44999999999999</v>
      </c>
      <c r="F26" s="79">
        <v>141.45999999999998</v>
      </c>
    </row>
    <row r="27" spans="1:9">
      <c r="A27" s="57">
        <v>3</v>
      </c>
      <c r="B27" s="78">
        <v>2024</v>
      </c>
      <c r="C27" s="79" t="s">
        <v>50</v>
      </c>
      <c r="D27" s="79">
        <v>-169.71</v>
      </c>
      <c r="E27" s="79">
        <v>141.46</v>
      </c>
      <c r="F27" s="79">
        <v>101.75000000000004</v>
      </c>
    </row>
    <row r="28" spans="1:9">
      <c r="A28" s="57">
        <v>4</v>
      </c>
      <c r="B28" s="78">
        <v>2024</v>
      </c>
      <c r="C28" s="79" t="s">
        <v>50</v>
      </c>
      <c r="D28" s="79">
        <v>0</v>
      </c>
      <c r="E28" s="79">
        <v>101.75</v>
      </c>
      <c r="F28" s="79">
        <v>231.75</v>
      </c>
    </row>
    <row r="29" spans="1:9">
      <c r="A29" s="57">
        <v>5</v>
      </c>
      <c r="B29" s="78">
        <v>2024</v>
      </c>
      <c r="C29" s="79" t="s">
        <v>50</v>
      </c>
      <c r="D29" s="79">
        <v>-352.58000000000004</v>
      </c>
      <c r="E29" s="79">
        <v>231.75</v>
      </c>
      <c r="F29" s="79">
        <v>9.1699999999999608</v>
      </c>
    </row>
    <row r="30" spans="1:9">
      <c r="A30" s="57">
        <v>6</v>
      </c>
      <c r="B30" s="78">
        <v>2024</v>
      </c>
      <c r="C30" s="79" t="s">
        <v>50</v>
      </c>
      <c r="D30" s="79">
        <v>0</v>
      </c>
      <c r="E30" s="79">
        <v>9.1699999999999608</v>
      </c>
      <c r="F30" s="79">
        <v>139.16999999999996</v>
      </c>
    </row>
    <row r="31" spans="1:9">
      <c r="A31" s="57">
        <v>7</v>
      </c>
      <c r="B31" s="78">
        <v>2024</v>
      </c>
      <c r="C31" s="79" t="s">
        <v>50</v>
      </c>
      <c r="D31" s="79">
        <v>-354.55</v>
      </c>
      <c r="E31" s="79">
        <v>139.16999999999999</v>
      </c>
      <c r="F31" s="79">
        <v>-85.380000000000052</v>
      </c>
    </row>
    <row r="32" spans="1:9">
      <c r="A32" s="57">
        <v>8</v>
      </c>
      <c r="B32" s="78">
        <v>2024</v>
      </c>
      <c r="C32" s="79" t="s">
        <v>50</v>
      </c>
      <c r="D32" s="79">
        <v>-137.19999999999999</v>
      </c>
      <c r="E32" s="79">
        <v>-85.380000000000095</v>
      </c>
      <c r="F32" s="79">
        <v>-92.580000000000084</v>
      </c>
      <c r="I32" s="80"/>
    </row>
    <row r="33" spans="1:6">
      <c r="A33" s="57">
        <v>9</v>
      </c>
      <c r="B33" s="78">
        <v>2024</v>
      </c>
      <c r="C33" s="79" t="s">
        <v>50</v>
      </c>
      <c r="D33" s="79">
        <v>-22.95</v>
      </c>
      <c r="E33" s="79">
        <v>-92.580000000000098</v>
      </c>
      <c r="F33" s="79">
        <v>14.469999999999905</v>
      </c>
    </row>
    <row r="34" spans="1:6">
      <c r="A34" s="57">
        <v>10</v>
      </c>
      <c r="B34" s="78">
        <v>2024</v>
      </c>
      <c r="C34" s="79" t="s">
        <v>50</v>
      </c>
      <c r="D34" s="79">
        <v>-30</v>
      </c>
      <c r="E34" s="79">
        <v>14.469999999999899</v>
      </c>
      <c r="F34" s="79">
        <v>114.46999999999991</v>
      </c>
    </row>
    <row r="35" spans="1:6">
      <c r="A35" s="57">
        <v>11</v>
      </c>
      <c r="B35" s="78">
        <v>2024</v>
      </c>
      <c r="C35" s="79" t="s">
        <v>50</v>
      </c>
      <c r="D35" s="79">
        <v>-351.55</v>
      </c>
      <c r="E35" s="79">
        <v>114.47</v>
      </c>
      <c r="F35" s="79">
        <v>-107.08</v>
      </c>
    </row>
    <row r="36" spans="1:6">
      <c r="A36" s="57">
        <v>12</v>
      </c>
      <c r="B36" s="78">
        <v>2024</v>
      </c>
      <c r="C36" s="79" t="s">
        <v>50</v>
      </c>
      <c r="D36" s="79">
        <v>-94.3</v>
      </c>
      <c r="E36" s="79">
        <v>-107.08</v>
      </c>
      <c r="F36" s="79">
        <v>-71.38000000000001</v>
      </c>
    </row>
    <row r="37" spans="1:6">
      <c r="A37" s="57">
        <v>1</v>
      </c>
      <c r="B37" s="78">
        <v>2025</v>
      </c>
      <c r="C37" s="79" t="s">
        <v>50</v>
      </c>
      <c r="D37" s="79">
        <v>0</v>
      </c>
      <c r="E37" s="79">
        <v>-71.38</v>
      </c>
      <c r="F37" s="79">
        <v>58.620000000000005</v>
      </c>
    </row>
    <row r="38" spans="1:6">
      <c r="A38" s="57">
        <v>2</v>
      </c>
      <c r="B38" s="78">
        <v>2025</v>
      </c>
      <c r="C38" s="79" t="s">
        <v>50</v>
      </c>
      <c r="D38" s="79">
        <v>-283.10000000000002</v>
      </c>
      <c r="E38" s="79">
        <v>58.62</v>
      </c>
      <c r="F38" s="79">
        <v>-94.480000000000018</v>
      </c>
    </row>
    <row r="39" spans="1:6">
      <c r="A39" s="57">
        <v>3</v>
      </c>
      <c r="B39" s="78">
        <v>2025</v>
      </c>
      <c r="C39" s="79" t="s">
        <v>50</v>
      </c>
      <c r="D39" s="79">
        <v>-117.95</v>
      </c>
      <c r="E39" s="79">
        <v>-94.48</v>
      </c>
      <c r="F39" s="79">
        <v>-82.43</v>
      </c>
    </row>
    <row r="40" spans="1:6">
      <c r="A40" s="57">
        <v>4</v>
      </c>
      <c r="B40" s="78">
        <v>2025</v>
      </c>
      <c r="C40" s="79" t="s">
        <v>50</v>
      </c>
      <c r="D40" s="79">
        <v>-49.12</v>
      </c>
      <c r="E40" s="79">
        <v>-82.43</v>
      </c>
      <c r="F40" s="79">
        <v>-1.5500000000000045</v>
      </c>
    </row>
    <row r="41" spans="1:6">
      <c r="A41" s="57">
        <v>5</v>
      </c>
      <c r="B41" s="78">
        <v>2025</v>
      </c>
      <c r="C41" s="79" t="s">
        <v>50</v>
      </c>
      <c r="D41" s="79">
        <v>-101</v>
      </c>
      <c r="E41" s="79">
        <v>-1.55</v>
      </c>
      <c r="F41" s="79">
        <v>27.449999999999989</v>
      </c>
    </row>
    <row r="42" spans="1:6">
      <c r="A42" s="57">
        <v>6</v>
      </c>
      <c r="B42" s="78">
        <v>2025</v>
      </c>
      <c r="C42" s="79" t="s">
        <v>50</v>
      </c>
      <c r="D42" s="79">
        <v>-172.6</v>
      </c>
      <c r="E42" s="79">
        <v>27.45</v>
      </c>
      <c r="F42" s="79">
        <v>-15.150000000000006</v>
      </c>
    </row>
    <row r="43" spans="1:6">
      <c r="A43" s="57">
        <v>7</v>
      </c>
      <c r="B43" s="78">
        <v>2025</v>
      </c>
      <c r="C43" s="79" t="s">
        <v>50</v>
      </c>
      <c r="D43" s="79">
        <v>-65</v>
      </c>
      <c r="E43" s="79">
        <v>-15.15</v>
      </c>
      <c r="F43" s="79">
        <v>49.849999999999994</v>
      </c>
    </row>
    <row r="44" spans="1:6">
      <c r="A44" s="57">
        <v>8</v>
      </c>
      <c r="B44" s="78">
        <v>2025</v>
      </c>
      <c r="C44" s="79" t="s">
        <v>50</v>
      </c>
      <c r="D44" s="79">
        <v>-104.5</v>
      </c>
      <c r="E44" s="79">
        <v>49.85</v>
      </c>
      <c r="F44" s="79">
        <v>75.349999999999994</v>
      </c>
    </row>
    <row r="45" spans="1:6">
      <c r="A45" s="57">
        <v>9</v>
      </c>
      <c r="B45" s="78">
        <v>2025</v>
      </c>
      <c r="C45" s="79" t="s">
        <v>50</v>
      </c>
      <c r="D45" s="79">
        <v>-184.8</v>
      </c>
      <c r="E45" s="79">
        <v>75.349999999999994</v>
      </c>
      <c r="F45" s="79">
        <v>20.549999999999983</v>
      </c>
    </row>
    <row r="46" spans="1:6">
      <c r="A46" s="57">
        <v>10</v>
      </c>
      <c r="B46" s="78">
        <v>2025</v>
      </c>
      <c r="C46" s="79" t="s">
        <v>50</v>
      </c>
      <c r="D46" s="79">
        <v>-68.759999999999991</v>
      </c>
      <c r="E46" s="79">
        <v>20.55</v>
      </c>
      <c r="F46" s="79">
        <v>81.79000000000002</v>
      </c>
    </row>
    <row r="47" spans="1:6">
      <c r="A47" s="57">
        <v>11</v>
      </c>
      <c r="B47" s="78">
        <v>2025</v>
      </c>
      <c r="C47" s="79" t="s">
        <v>50</v>
      </c>
      <c r="D47" s="79">
        <v>0</v>
      </c>
      <c r="E47" s="79">
        <v>81.790000000000006</v>
      </c>
      <c r="F47" s="79">
        <v>211.79000000000002</v>
      </c>
    </row>
    <row r="48" spans="1:6">
      <c r="A48" s="57">
        <v>12</v>
      </c>
      <c r="B48" s="78">
        <v>2025</v>
      </c>
      <c r="C48" s="79" t="s">
        <v>50</v>
      </c>
      <c r="D48" s="79">
        <v>0</v>
      </c>
      <c r="E48" s="79">
        <v>211.79</v>
      </c>
      <c r="F48" s="79">
        <v>341.78999999999996</v>
      </c>
    </row>
    <row r="49" spans="1:6">
      <c r="A49" s="57">
        <v>1</v>
      </c>
      <c r="B49" s="78">
        <v>2024</v>
      </c>
      <c r="C49" s="79" t="s">
        <v>40</v>
      </c>
      <c r="D49" s="79">
        <v>0</v>
      </c>
      <c r="E49" s="79">
        <v>0</v>
      </c>
      <c r="F49" s="79">
        <v>0</v>
      </c>
    </row>
    <row r="50" spans="1:6">
      <c r="A50" s="57">
        <v>2</v>
      </c>
      <c r="B50" s="78">
        <v>2024</v>
      </c>
      <c r="C50" s="79" t="s">
        <v>40</v>
      </c>
      <c r="D50" s="79">
        <v>-200</v>
      </c>
      <c r="E50" s="79">
        <v>0</v>
      </c>
      <c r="F50" s="79">
        <v>0</v>
      </c>
    </row>
    <row r="51" spans="1:6">
      <c r="A51" s="57">
        <v>3</v>
      </c>
      <c r="B51" s="78">
        <v>2024</v>
      </c>
      <c r="C51" s="79" t="s">
        <v>40</v>
      </c>
      <c r="D51" s="79">
        <v>-200</v>
      </c>
      <c r="E51" s="79">
        <v>0</v>
      </c>
      <c r="F51" s="79">
        <v>0</v>
      </c>
    </row>
    <row r="52" spans="1:6">
      <c r="A52" s="57">
        <v>4</v>
      </c>
      <c r="B52" s="78">
        <v>2024</v>
      </c>
      <c r="C52" s="79" t="s">
        <v>40</v>
      </c>
      <c r="D52" s="79">
        <v>-200</v>
      </c>
      <c r="E52" s="79">
        <v>0</v>
      </c>
      <c r="F52" s="79">
        <v>0</v>
      </c>
    </row>
    <row r="53" spans="1:6">
      <c r="A53" s="57">
        <v>5</v>
      </c>
      <c r="B53" s="78">
        <v>2024</v>
      </c>
      <c r="C53" s="79" t="s">
        <v>40</v>
      </c>
      <c r="D53" s="79">
        <v>-200</v>
      </c>
      <c r="E53" s="79">
        <v>0</v>
      </c>
      <c r="F53" s="79">
        <v>0</v>
      </c>
    </row>
    <row r="54" spans="1:6">
      <c r="A54" s="57">
        <v>6</v>
      </c>
      <c r="B54" s="78">
        <v>2024</v>
      </c>
      <c r="C54" s="79" t="s">
        <v>40</v>
      </c>
      <c r="D54" s="79">
        <v>-200</v>
      </c>
      <c r="E54" s="79">
        <v>0</v>
      </c>
      <c r="F54" s="79">
        <v>0</v>
      </c>
    </row>
    <row r="55" spans="1:6">
      <c r="A55" s="57">
        <v>7</v>
      </c>
      <c r="B55" s="78">
        <v>2024</v>
      </c>
      <c r="C55" s="79" t="s">
        <v>40</v>
      </c>
      <c r="D55" s="79">
        <v>-200</v>
      </c>
      <c r="E55" s="79">
        <v>0</v>
      </c>
      <c r="F55" s="79">
        <v>0</v>
      </c>
    </row>
    <row r="56" spans="1:6">
      <c r="A56" s="57">
        <v>8</v>
      </c>
      <c r="B56" s="78">
        <v>2024</v>
      </c>
      <c r="C56" s="79" t="s">
        <v>40</v>
      </c>
      <c r="D56" s="79">
        <v>-200</v>
      </c>
      <c r="E56" s="79">
        <v>0</v>
      </c>
      <c r="F56" s="79">
        <v>0</v>
      </c>
    </row>
    <row r="57" spans="1:6">
      <c r="A57" s="57">
        <v>9</v>
      </c>
      <c r="B57" s="78">
        <v>2024</v>
      </c>
      <c r="C57" s="79" t="s">
        <v>40</v>
      </c>
      <c r="D57" s="79">
        <v>-200</v>
      </c>
      <c r="E57" s="79">
        <v>0</v>
      </c>
      <c r="F57" s="79">
        <v>0</v>
      </c>
    </row>
    <row r="58" spans="1:6">
      <c r="A58" s="57">
        <v>10</v>
      </c>
      <c r="B58" s="78">
        <v>2024</v>
      </c>
      <c r="C58" s="79" t="s">
        <v>40</v>
      </c>
      <c r="D58" s="79">
        <v>-200</v>
      </c>
      <c r="E58" s="79">
        <v>0</v>
      </c>
      <c r="F58" s="79">
        <v>0</v>
      </c>
    </row>
    <row r="59" spans="1:6">
      <c r="A59" s="57">
        <v>11</v>
      </c>
      <c r="B59" s="78">
        <v>2024</v>
      </c>
      <c r="C59" s="79" t="s">
        <v>40</v>
      </c>
      <c r="D59" s="79">
        <v>-200</v>
      </c>
      <c r="E59" s="79">
        <v>0</v>
      </c>
      <c r="F59" s="79">
        <v>0</v>
      </c>
    </row>
    <row r="60" spans="1:6">
      <c r="A60" s="57">
        <v>12</v>
      </c>
      <c r="B60" s="78">
        <v>2024</v>
      </c>
      <c r="C60" s="79" t="s">
        <v>40</v>
      </c>
      <c r="D60" s="79">
        <v>-200</v>
      </c>
      <c r="E60" s="79">
        <v>0</v>
      </c>
      <c r="F60" s="79">
        <v>0</v>
      </c>
    </row>
    <row r="61" spans="1:6">
      <c r="A61" s="57">
        <v>1</v>
      </c>
      <c r="B61" s="78">
        <v>2025</v>
      </c>
      <c r="C61" s="79" t="s">
        <v>40</v>
      </c>
      <c r="D61" s="79">
        <v>-400</v>
      </c>
      <c r="E61" s="79">
        <v>0</v>
      </c>
      <c r="F61" s="79">
        <v>0</v>
      </c>
    </row>
    <row r="62" spans="1:6">
      <c r="A62" s="57">
        <v>2</v>
      </c>
      <c r="B62" s="78">
        <v>2025</v>
      </c>
      <c r="C62" s="79" t="s">
        <v>40</v>
      </c>
      <c r="D62" s="79">
        <v>-400</v>
      </c>
      <c r="E62" s="79">
        <v>0</v>
      </c>
      <c r="F62" s="79">
        <v>0</v>
      </c>
    </row>
    <row r="63" spans="1:6">
      <c r="A63" s="57">
        <v>3</v>
      </c>
      <c r="B63" s="78">
        <v>2025</v>
      </c>
      <c r="C63" s="79" t="s">
        <v>40</v>
      </c>
      <c r="D63" s="79">
        <v>-400</v>
      </c>
      <c r="E63" s="79">
        <v>0</v>
      </c>
      <c r="F63" s="79">
        <v>0</v>
      </c>
    </row>
    <row r="64" spans="1:6">
      <c r="A64" s="57">
        <v>4</v>
      </c>
      <c r="B64" s="78">
        <v>2025</v>
      </c>
      <c r="C64" s="79" t="s">
        <v>40</v>
      </c>
      <c r="D64" s="79">
        <v>-400</v>
      </c>
      <c r="E64" s="79">
        <v>0</v>
      </c>
      <c r="F64" s="79">
        <v>0</v>
      </c>
    </row>
    <row r="65" spans="1:6">
      <c r="A65" s="57">
        <v>5</v>
      </c>
      <c r="B65" s="78">
        <v>2025</v>
      </c>
      <c r="C65" s="79" t="s">
        <v>40</v>
      </c>
      <c r="D65" s="79">
        <v>-400</v>
      </c>
      <c r="E65" s="79">
        <v>0</v>
      </c>
      <c r="F65" s="79">
        <v>0</v>
      </c>
    </row>
    <row r="66" spans="1:6">
      <c r="A66" s="57">
        <v>6</v>
      </c>
      <c r="B66" s="78">
        <v>2025</v>
      </c>
      <c r="C66" s="79" t="s">
        <v>40</v>
      </c>
      <c r="D66" s="79">
        <v>-400</v>
      </c>
      <c r="E66" s="79">
        <v>0</v>
      </c>
      <c r="F66" s="79">
        <v>0</v>
      </c>
    </row>
    <row r="67" spans="1:6">
      <c r="A67" s="57">
        <v>7</v>
      </c>
      <c r="B67" s="78">
        <v>2025</v>
      </c>
      <c r="C67" s="79" t="s">
        <v>40</v>
      </c>
      <c r="D67" s="79">
        <v>-400</v>
      </c>
      <c r="E67" s="79">
        <v>0</v>
      </c>
      <c r="F67" s="79">
        <v>0</v>
      </c>
    </row>
    <row r="68" spans="1:6">
      <c r="A68" s="57">
        <v>8</v>
      </c>
      <c r="B68" s="78">
        <v>2025</v>
      </c>
      <c r="C68" s="79" t="s">
        <v>40</v>
      </c>
      <c r="D68" s="79">
        <v>-400</v>
      </c>
      <c r="E68" s="79">
        <v>0</v>
      </c>
      <c r="F68" s="79">
        <v>0</v>
      </c>
    </row>
    <row r="69" spans="1:6">
      <c r="A69" s="57">
        <v>9</v>
      </c>
      <c r="B69" s="78">
        <v>2025</v>
      </c>
      <c r="C69" s="79" t="s">
        <v>40</v>
      </c>
      <c r="D69" s="79">
        <v>-400</v>
      </c>
      <c r="E69" s="79">
        <v>0</v>
      </c>
      <c r="F69" s="79">
        <v>0</v>
      </c>
    </row>
    <row r="70" spans="1:6">
      <c r="A70" s="57">
        <v>10</v>
      </c>
      <c r="B70" s="78">
        <v>2025</v>
      </c>
      <c r="C70" s="79" t="s">
        <v>40</v>
      </c>
      <c r="D70" s="79">
        <v>-400</v>
      </c>
      <c r="E70" s="79">
        <v>0</v>
      </c>
      <c r="F70" s="79">
        <v>0</v>
      </c>
    </row>
    <row r="71" spans="1:6">
      <c r="A71" s="57">
        <v>11</v>
      </c>
      <c r="B71" s="78">
        <v>2025</v>
      </c>
      <c r="C71" s="79" t="s">
        <v>40</v>
      </c>
      <c r="D71" s="79">
        <v>-400</v>
      </c>
      <c r="E71" s="79">
        <v>0</v>
      </c>
      <c r="F71" s="79">
        <v>0</v>
      </c>
    </row>
    <row r="72" spans="1:6">
      <c r="A72" s="57">
        <v>12</v>
      </c>
      <c r="B72" s="78">
        <v>2025</v>
      </c>
      <c r="C72" s="79" t="s">
        <v>40</v>
      </c>
      <c r="D72" s="79">
        <v>0</v>
      </c>
      <c r="E72" s="79">
        <v>0</v>
      </c>
      <c r="F72" s="79">
        <v>400</v>
      </c>
    </row>
    <row r="73" spans="1:6">
      <c r="A73" s="57">
        <v>1</v>
      </c>
      <c r="B73" s="78">
        <v>2024</v>
      </c>
      <c r="C73" s="79" t="s">
        <v>29</v>
      </c>
      <c r="D73" s="79">
        <v>0</v>
      </c>
      <c r="E73" s="79">
        <v>0</v>
      </c>
      <c r="F73" s="79">
        <v>0</v>
      </c>
    </row>
    <row r="74" spans="1:6">
      <c r="A74" s="57">
        <v>2</v>
      </c>
      <c r="B74" s="78">
        <v>2024</v>
      </c>
      <c r="C74" s="79" t="s">
        <v>29</v>
      </c>
      <c r="D74" s="79">
        <v>0</v>
      </c>
      <c r="E74" s="79">
        <v>0</v>
      </c>
      <c r="F74" s="79">
        <v>204</v>
      </c>
    </row>
    <row r="75" spans="1:6">
      <c r="A75" s="57">
        <v>3</v>
      </c>
      <c r="B75" s="78">
        <v>2024</v>
      </c>
      <c r="C75" s="79" t="s">
        <v>29</v>
      </c>
      <c r="D75" s="79">
        <v>-430</v>
      </c>
      <c r="E75" s="79">
        <v>204</v>
      </c>
      <c r="F75" s="79">
        <v>0</v>
      </c>
    </row>
    <row r="76" spans="1:6">
      <c r="A76" s="57">
        <v>4</v>
      </c>
      <c r="B76" s="78">
        <v>2024</v>
      </c>
      <c r="C76" s="79" t="s">
        <v>29</v>
      </c>
      <c r="D76" s="79">
        <v>-225.75</v>
      </c>
      <c r="E76" s="79">
        <v>0</v>
      </c>
      <c r="F76" s="79">
        <v>0.25</v>
      </c>
    </row>
    <row r="77" spans="1:6">
      <c r="A77" s="57">
        <v>5</v>
      </c>
      <c r="B77" s="78">
        <v>2024</v>
      </c>
      <c r="C77" s="79" t="s">
        <v>29</v>
      </c>
      <c r="D77" s="79">
        <v>-225.75</v>
      </c>
      <c r="E77" s="79">
        <v>0.25</v>
      </c>
      <c r="F77" s="79">
        <v>0.5</v>
      </c>
    </row>
    <row r="78" spans="1:6">
      <c r="A78" s="57">
        <v>6</v>
      </c>
      <c r="B78" s="78">
        <v>2024</v>
      </c>
      <c r="C78" s="79" t="s">
        <v>29</v>
      </c>
      <c r="D78" s="79">
        <v>-225.75</v>
      </c>
      <c r="E78" s="79">
        <v>0.5</v>
      </c>
      <c r="F78" s="79">
        <v>0.75</v>
      </c>
    </row>
    <row r="79" spans="1:6">
      <c r="A79" s="57">
        <v>7</v>
      </c>
      <c r="B79" s="78">
        <v>2024</v>
      </c>
      <c r="C79" s="79" t="s">
        <v>29</v>
      </c>
      <c r="D79" s="79">
        <v>-225.75</v>
      </c>
      <c r="E79" s="79">
        <v>0.75</v>
      </c>
      <c r="F79" s="79">
        <v>1</v>
      </c>
    </row>
    <row r="80" spans="1:6">
      <c r="A80" s="57">
        <v>8</v>
      </c>
      <c r="B80" s="78">
        <v>2024</v>
      </c>
      <c r="C80" s="79" t="s">
        <v>29</v>
      </c>
      <c r="D80" s="79">
        <v>-225.75</v>
      </c>
      <c r="E80" s="79">
        <v>1</v>
      </c>
      <c r="F80" s="79">
        <v>1.25</v>
      </c>
    </row>
    <row r="81" spans="1:6">
      <c r="A81" s="57">
        <v>9</v>
      </c>
      <c r="B81" s="78">
        <v>2024</v>
      </c>
      <c r="C81" s="79" t="s">
        <v>29</v>
      </c>
      <c r="D81" s="79">
        <v>-225.75</v>
      </c>
      <c r="E81" s="79">
        <v>1.25</v>
      </c>
      <c r="F81" s="79">
        <v>1.5</v>
      </c>
    </row>
    <row r="82" spans="1:6">
      <c r="A82" s="57">
        <v>10</v>
      </c>
      <c r="B82" s="78">
        <v>2024</v>
      </c>
      <c r="C82" s="79" t="s">
        <v>29</v>
      </c>
      <c r="D82" s="79">
        <v>-225.75</v>
      </c>
      <c r="E82" s="79">
        <v>1.5</v>
      </c>
      <c r="F82" s="79">
        <v>1.75</v>
      </c>
    </row>
    <row r="83" spans="1:6">
      <c r="A83" s="57">
        <v>11</v>
      </c>
      <c r="B83" s="78">
        <v>2024</v>
      </c>
      <c r="C83" s="79" t="s">
        <v>29</v>
      </c>
      <c r="D83" s="79">
        <v>-225.75</v>
      </c>
      <c r="E83" s="79">
        <v>1.75</v>
      </c>
      <c r="F83" s="79">
        <v>2</v>
      </c>
    </row>
    <row r="84" spans="1:6">
      <c r="A84" s="57">
        <v>12</v>
      </c>
      <c r="B84" s="78">
        <v>2024</v>
      </c>
      <c r="C84" s="79" t="s">
        <v>29</v>
      </c>
      <c r="D84" s="79">
        <v>-225.75</v>
      </c>
      <c r="E84" s="79">
        <v>2</v>
      </c>
      <c r="F84" s="79">
        <v>2.25</v>
      </c>
    </row>
    <row r="85" spans="1:6">
      <c r="A85" s="57">
        <v>1</v>
      </c>
      <c r="B85" s="78">
        <v>2025</v>
      </c>
      <c r="C85" s="79" t="s">
        <v>29</v>
      </c>
      <c r="D85" s="79">
        <v>-225.75</v>
      </c>
      <c r="E85" s="79">
        <v>2.25</v>
      </c>
      <c r="F85" s="79">
        <v>2.5</v>
      </c>
    </row>
    <row r="86" spans="1:6">
      <c r="A86" s="57">
        <v>2</v>
      </c>
      <c r="B86" s="78">
        <v>2025</v>
      </c>
      <c r="C86" s="79" t="s">
        <v>29</v>
      </c>
      <c r="D86" s="79">
        <v>0</v>
      </c>
      <c r="E86" s="79">
        <v>2.5</v>
      </c>
      <c r="F86" s="79">
        <v>228.5</v>
      </c>
    </row>
    <row r="87" spans="1:6">
      <c r="A87" s="57">
        <v>3</v>
      </c>
      <c r="B87" s="78">
        <v>2025</v>
      </c>
      <c r="C87" s="79" t="s">
        <v>29</v>
      </c>
      <c r="D87" s="79">
        <v>-443</v>
      </c>
      <c r="E87" s="79">
        <v>228.5</v>
      </c>
      <c r="F87" s="79">
        <v>11.5</v>
      </c>
    </row>
    <row r="88" spans="1:6">
      <c r="A88" s="57">
        <v>4</v>
      </c>
      <c r="B88" s="78">
        <v>2025</v>
      </c>
      <c r="C88" s="79" t="s">
        <v>29</v>
      </c>
      <c r="D88" s="79">
        <v>-221.5</v>
      </c>
      <c r="E88" s="79">
        <v>11.5</v>
      </c>
      <c r="F88" s="79">
        <v>11.5</v>
      </c>
    </row>
    <row r="89" spans="1:6">
      <c r="A89" s="57">
        <v>5</v>
      </c>
      <c r="B89" s="78">
        <v>2025</v>
      </c>
      <c r="C89" s="79" t="s">
        <v>29</v>
      </c>
      <c r="D89" s="79">
        <v>-221.5</v>
      </c>
      <c r="E89" s="79">
        <v>11.5</v>
      </c>
      <c r="F89" s="79">
        <v>11.5</v>
      </c>
    </row>
    <row r="90" spans="1:6">
      <c r="A90" s="57">
        <v>6</v>
      </c>
      <c r="B90" s="78">
        <v>2025</v>
      </c>
      <c r="C90" s="79" t="s">
        <v>29</v>
      </c>
      <c r="D90" s="79">
        <v>-221.5</v>
      </c>
      <c r="E90" s="79">
        <v>11.5</v>
      </c>
      <c r="F90" s="79">
        <v>11.5</v>
      </c>
    </row>
    <row r="91" spans="1:6">
      <c r="A91" s="57">
        <v>7</v>
      </c>
      <c r="B91" s="78">
        <v>2025</v>
      </c>
      <c r="C91" s="79" t="s">
        <v>29</v>
      </c>
      <c r="D91" s="79">
        <v>-233</v>
      </c>
      <c r="E91" s="79">
        <v>11.5</v>
      </c>
      <c r="F91" s="79">
        <v>0</v>
      </c>
    </row>
    <row r="92" spans="1:6">
      <c r="A92" s="57">
        <v>8</v>
      </c>
      <c r="B92" s="78">
        <v>2025</v>
      </c>
      <c r="C92" s="79" t="s">
        <v>29</v>
      </c>
      <c r="D92" s="79">
        <v>-221.5</v>
      </c>
      <c r="E92" s="79">
        <v>0</v>
      </c>
      <c r="F92" s="79">
        <v>0</v>
      </c>
    </row>
    <row r="93" spans="1:6">
      <c r="A93" s="57">
        <v>9</v>
      </c>
      <c r="B93" s="78">
        <v>2025</v>
      </c>
      <c r="C93" s="79" t="s">
        <v>29</v>
      </c>
      <c r="D93" s="79">
        <v>-221.5</v>
      </c>
      <c r="E93" s="79">
        <v>0</v>
      </c>
      <c r="F93" s="79">
        <v>0</v>
      </c>
    </row>
    <row r="94" spans="1:6">
      <c r="A94" s="57">
        <v>10</v>
      </c>
      <c r="B94" s="78">
        <v>2025</v>
      </c>
      <c r="C94" s="79" t="s">
        <v>29</v>
      </c>
      <c r="D94" s="79">
        <v>-221.5</v>
      </c>
      <c r="E94" s="79">
        <v>0</v>
      </c>
      <c r="F94" s="79">
        <v>0</v>
      </c>
    </row>
    <row r="95" spans="1:6">
      <c r="A95" s="57">
        <v>11</v>
      </c>
      <c r="B95" s="78">
        <v>2025</v>
      </c>
      <c r="C95" s="79" t="s">
        <v>29</v>
      </c>
      <c r="D95" s="79">
        <v>-221.5</v>
      </c>
      <c r="E95" s="79">
        <v>0</v>
      </c>
      <c r="F95" s="79">
        <v>0</v>
      </c>
    </row>
    <row r="96" spans="1:6">
      <c r="A96" s="57">
        <v>12</v>
      </c>
      <c r="B96" s="78">
        <v>2025</v>
      </c>
      <c r="C96" s="79" t="s">
        <v>29</v>
      </c>
      <c r="D96" s="79">
        <v>0</v>
      </c>
      <c r="E96" s="79">
        <v>0</v>
      </c>
      <c r="F96" s="79">
        <v>221.5</v>
      </c>
    </row>
    <row r="97" spans="1:6">
      <c r="A97" s="57">
        <v>1</v>
      </c>
      <c r="B97" s="78">
        <v>2024</v>
      </c>
      <c r="C97" s="79" t="s">
        <v>62</v>
      </c>
      <c r="D97" s="79">
        <v>0</v>
      </c>
      <c r="E97" s="79">
        <v>247.56</v>
      </c>
      <c r="F97" s="79">
        <v>247.56</v>
      </c>
    </row>
    <row r="98" spans="1:6">
      <c r="A98" s="57">
        <v>2</v>
      </c>
      <c r="B98" s="78">
        <v>2024</v>
      </c>
      <c r="C98" s="79" t="s">
        <v>62</v>
      </c>
      <c r="D98" s="79">
        <v>0</v>
      </c>
      <c r="E98" s="79">
        <v>247.56</v>
      </c>
      <c r="F98" s="79">
        <v>247.57</v>
      </c>
    </row>
    <row r="99" spans="1:6">
      <c r="A99" s="57">
        <v>3</v>
      </c>
      <c r="B99" s="78">
        <v>2024</v>
      </c>
      <c r="C99" s="79" t="s">
        <v>62</v>
      </c>
      <c r="D99" s="79">
        <v>-373.8</v>
      </c>
      <c r="E99" s="79">
        <v>247.57</v>
      </c>
      <c r="F99" s="79">
        <v>-76.230000000000018</v>
      </c>
    </row>
    <row r="100" spans="1:6">
      <c r="A100" s="57">
        <v>4</v>
      </c>
      <c r="B100" s="78">
        <v>2024</v>
      </c>
      <c r="C100" s="79" t="s">
        <v>62</v>
      </c>
      <c r="D100" s="79">
        <v>-27.29</v>
      </c>
      <c r="E100" s="79">
        <v>-76.23</v>
      </c>
      <c r="F100" s="79">
        <v>-53.52</v>
      </c>
    </row>
    <row r="101" spans="1:6">
      <c r="A101" s="57">
        <v>5</v>
      </c>
      <c r="B101" s="78">
        <v>2024</v>
      </c>
      <c r="C101" s="79" t="s">
        <v>62</v>
      </c>
      <c r="D101" s="79">
        <v>0</v>
      </c>
      <c r="E101" s="79">
        <v>-53.52</v>
      </c>
      <c r="F101" s="79">
        <v>-3.5200000000000031</v>
      </c>
    </row>
    <row r="102" spans="1:6">
      <c r="A102" s="57">
        <v>6</v>
      </c>
      <c r="B102" s="78">
        <v>2024</v>
      </c>
      <c r="C102" s="79" t="s">
        <v>62</v>
      </c>
      <c r="D102" s="79">
        <v>0</v>
      </c>
      <c r="E102" s="79">
        <v>-3.52</v>
      </c>
      <c r="F102" s="79">
        <v>46.48</v>
      </c>
    </row>
    <row r="103" spans="1:6">
      <c r="A103" s="57">
        <v>7</v>
      </c>
      <c r="B103" s="78">
        <v>2024</v>
      </c>
      <c r="C103" s="79" t="s">
        <v>62</v>
      </c>
      <c r="D103" s="79">
        <v>-50</v>
      </c>
      <c r="E103" s="79">
        <v>46.48</v>
      </c>
      <c r="F103" s="79">
        <v>46.47999999999999</v>
      </c>
    </row>
    <row r="104" spans="1:6">
      <c r="A104" s="57">
        <v>8</v>
      </c>
      <c r="B104" s="78">
        <v>2024</v>
      </c>
      <c r="C104" s="79" t="s">
        <v>62</v>
      </c>
      <c r="D104" s="79">
        <v>-131.35</v>
      </c>
      <c r="E104" s="79">
        <v>46.48</v>
      </c>
      <c r="F104" s="79">
        <v>-34.870000000000005</v>
      </c>
    </row>
    <row r="105" spans="1:6">
      <c r="A105" s="57">
        <v>9</v>
      </c>
      <c r="B105" s="78">
        <v>2024</v>
      </c>
      <c r="C105" s="79" t="s">
        <v>62</v>
      </c>
      <c r="D105" s="79">
        <v>0</v>
      </c>
      <c r="E105" s="79">
        <v>-34.869999999999997</v>
      </c>
      <c r="F105" s="79">
        <v>15.130000000000004</v>
      </c>
    </row>
    <row r="106" spans="1:6">
      <c r="A106" s="57">
        <v>10</v>
      </c>
      <c r="B106" s="78">
        <v>2024</v>
      </c>
      <c r="C106" s="79" t="s">
        <v>62</v>
      </c>
      <c r="D106" s="79">
        <v>100</v>
      </c>
      <c r="E106" s="79">
        <v>15.13</v>
      </c>
      <c r="F106" s="79">
        <v>165.13</v>
      </c>
    </row>
    <row r="107" spans="1:6">
      <c r="A107" s="57">
        <v>11</v>
      </c>
      <c r="B107" s="78">
        <v>2024</v>
      </c>
      <c r="C107" s="79" t="s">
        <v>62</v>
      </c>
      <c r="D107" s="79">
        <v>-81.69</v>
      </c>
      <c r="E107" s="79">
        <v>165.13</v>
      </c>
      <c r="F107" s="79">
        <v>133.44</v>
      </c>
    </row>
    <row r="108" spans="1:6">
      <c r="A108" s="57">
        <v>12</v>
      </c>
      <c r="B108" s="78">
        <v>2024</v>
      </c>
      <c r="C108" s="79" t="s">
        <v>62</v>
      </c>
      <c r="D108" s="79">
        <v>-67.97</v>
      </c>
      <c r="E108" s="79">
        <v>133.44</v>
      </c>
      <c r="F108" s="79">
        <v>115.47</v>
      </c>
    </row>
    <row r="109" spans="1:6">
      <c r="A109" s="57">
        <v>1</v>
      </c>
      <c r="B109" s="78">
        <v>2025</v>
      </c>
      <c r="C109" s="79" t="s">
        <v>62</v>
      </c>
      <c r="D109" s="79">
        <v>0</v>
      </c>
      <c r="E109" s="79">
        <v>115.47</v>
      </c>
      <c r="F109" s="79">
        <v>165.47</v>
      </c>
    </row>
    <row r="110" spans="1:6">
      <c r="A110" s="57">
        <v>2</v>
      </c>
      <c r="B110" s="78">
        <v>2025</v>
      </c>
      <c r="C110" s="79" t="s">
        <v>62</v>
      </c>
      <c r="D110" s="79">
        <v>0</v>
      </c>
      <c r="E110" s="79">
        <v>165.47</v>
      </c>
      <c r="F110" s="79">
        <v>215.47</v>
      </c>
    </row>
    <row r="111" spans="1:6">
      <c r="A111" s="57">
        <v>3</v>
      </c>
      <c r="B111" s="78">
        <v>2025</v>
      </c>
      <c r="C111" s="79" t="s">
        <v>62</v>
      </c>
      <c r="D111" s="79">
        <v>0</v>
      </c>
      <c r="E111" s="79">
        <v>215.47</v>
      </c>
      <c r="F111" s="79">
        <v>265.47000000000003</v>
      </c>
    </row>
    <row r="112" spans="1:6">
      <c r="A112" s="57">
        <v>4</v>
      </c>
      <c r="B112" s="78">
        <v>2025</v>
      </c>
      <c r="C112" s="79" t="s">
        <v>62</v>
      </c>
      <c r="D112" s="79">
        <v>-91.69</v>
      </c>
      <c r="E112" s="79">
        <v>265.47000000000003</v>
      </c>
      <c r="F112" s="79">
        <v>223.78000000000003</v>
      </c>
    </row>
    <row r="113" spans="1:6">
      <c r="A113" s="57">
        <v>5</v>
      </c>
      <c r="B113" s="78">
        <v>2025</v>
      </c>
      <c r="C113" s="79" t="s">
        <v>62</v>
      </c>
      <c r="D113" s="79">
        <v>-288.20000000000005</v>
      </c>
      <c r="E113" s="79">
        <v>223.78</v>
      </c>
      <c r="F113" s="79">
        <v>-14.420000000000073</v>
      </c>
    </row>
    <row r="114" spans="1:6">
      <c r="A114" s="57">
        <v>6</v>
      </c>
      <c r="B114" s="78">
        <v>2025</v>
      </c>
      <c r="C114" s="79" t="s">
        <v>62</v>
      </c>
      <c r="D114" s="79">
        <v>0</v>
      </c>
      <c r="E114" s="79">
        <v>-14.420000000000099</v>
      </c>
      <c r="F114" s="79">
        <v>35.579999999999899</v>
      </c>
    </row>
    <row r="115" spans="1:6">
      <c r="A115" s="57">
        <v>7</v>
      </c>
      <c r="B115" s="78">
        <v>2025</v>
      </c>
      <c r="C115" s="79" t="s">
        <v>62</v>
      </c>
      <c r="D115" s="79">
        <v>0</v>
      </c>
      <c r="E115" s="79">
        <v>35.579999999999899</v>
      </c>
      <c r="F115" s="79">
        <v>85.579999999999899</v>
      </c>
    </row>
    <row r="116" spans="1:6">
      <c r="A116" s="57">
        <v>8</v>
      </c>
      <c r="B116" s="78">
        <v>2025</v>
      </c>
      <c r="C116" s="79" t="s">
        <v>62</v>
      </c>
      <c r="D116" s="79">
        <v>0</v>
      </c>
      <c r="E116" s="79">
        <v>85.579999999999899</v>
      </c>
      <c r="F116" s="79">
        <v>135.5799999999999</v>
      </c>
    </row>
    <row r="117" spans="1:6">
      <c r="A117" s="57">
        <v>9</v>
      </c>
      <c r="B117" s="78">
        <v>2025</v>
      </c>
      <c r="C117" s="79" t="s">
        <v>62</v>
      </c>
      <c r="D117" s="79">
        <v>-158</v>
      </c>
      <c r="E117" s="79">
        <v>135.58000000000001</v>
      </c>
      <c r="F117" s="79">
        <v>27.580000000000013</v>
      </c>
    </row>
    <row r="118" spans="1:6">
      <c r="A118" s="57">
        <v>10</v>
      </c>
      <c r="B118" s="78">
        <v>2025</v>
      </c>
      <c r="C118" s="79" t="s">
        <v>62</v>
      </c>
      <c r="D118" s="79">
        <v>0</v>
      </c>
      <c r="E118" s="79">
        <v>27.58</v>
      </c>
      <c r="F118" s="79">
        <v>77.58</v>
      </c>
    </row>
    <row r="119" spans="1:6">
      <c r="A119" s="57">
        <v>11</v>
      </c>
      <c r="B119" s="78">
        <v>2025</v>
      </c>
      <c r="C119" s="79" t="s">
        <v>62</v>
      </c>
      <c r="D119" s="79">
        <v>-62.400000000000006</v>
      </c>
      <c r="E119" s="79">
        <v>77.58</v>
      </c>
      <c r="F119" s="79">
        <v>65.179999999999993</v>
      </c>
    </row>
    <row r="120" spans="1:6">
      <c r="A120" s="57">
        <v>12</v>
      </c>
      <c r="B120" s="78">
        <v>2025</v>
      </c>
      <c r="C120" s="79" t="s">
        <v>62</v>
      </c>
      <c r="D120" s="79">
        <v>0</v>
      </c>
      <c r="E120" s="79">
        <v>65.180000000000007</v>
      </c>
      <c r="F120" s="79">
        <v>115.18</v>
      </c>
    </row>
    <row r="121" spans="1:6">
      <c r="A121" s="107">
        <v>11</v>
      </c>
      <c r="B121" s="108">
        <v>2024</v>
      </c>
      <c r="C121" s="79" t="s">
        <v>61</v>
      </c>
      <c r="D121" s="79">
        <v>0</v>
      </c>
      <c r="E121" s="79">
        <v>0.01</v>
      </c>
      <c r="F121" s="79">
        <v>1.0999999999999999E-2</v>
      </c>
    </row>
    <row r="122" spans="1:6">
      <c r="A122" s="107">
        <v>10</v>
      </c>
      <c r="B122" s="108">
        <v>2024</v>
      </c>
      <c r="C122" s="79" t="s">
        <v>61</v>
      </c>
      <c r="D122" s="79">
        <v>0</v>
      </c>
      <c r="E122" s="79">
        <v>0</v>
      </c>
      <c r="F122" s="79">
        <v>0.01</v>
      </c>
    </row>
    <row r="123" spans="1:6">
      <c r="A123" s="57">
        <v>12</v>
      </c>
      <c r="B123" s="78">
        <v>2024</v>
      </c>
      <c r="C123" s="79" t="s">
        <v>61</v>
      </c>
      <c r="D123" s="79">
        <v>-150</v>
      </c>
      <c r="E123" s="79">
        <v>1.0999999999999999E-2</v>
      </c>
      <c r="F123" s="79">
        <v>1.099999999999568E-2</v>
      </c>
    </row>
    <row r="124" spans="1:6">
      <c r="A124" s="57">
        <v>1</v>
      </c>
      <c r="B124" s="78">
        <v>2025</v>
      </c>
      <c r="C124" s="79" t="s">
        <v>61</v>
      </c>
      <c r="D124" s="79">
        <v>0</v>
      </c>
      <c r="E124" s="79">
        <v>1.0999999999995701E-2</v>
      </c>
      <c r="F124" s="79">
        <v>150.011</v>
      </c>
    </row>
    <row r="125" spans="1:6">
      <c r="A125" s="57">
        <v>2</v>
      </c>
      <c r="B125" s="78">
        <v>2025</v>
      </c>
      <c r="C125" s="79" t="s">
        <v>61</v>
      </c>
      <c r="D125" s="79">
        <v>-300</v>
      </c>
      <c r="E125" s="79">
        <v>150.011</v>
      </c>
      <c r="F125" s="79">
        <v>1.0999999999967258E-2</v>
      </c>
    </row>
    <row r="126" spans="1:6">
      <c r="A126" s="57">
        <v>3</v>
      </c>
      <c r="B126" s="78">
        <v>2025</v>
      </c>
      <c r="C126" s="79" t="s">
        <v>61</v>
      </c>
      <c r="D126" s="79">
        <v>0</v>
      </c>
      <c r="E126" s="79">
        <v>1.09999999999673E-2</v>
      </c>
      <c r="F126" s="79">
        <v>150.01099999999997</v>
      </c>
    </row>
    <row r="127" spans="1:6">
      <c r="A127" s="57">
        <v>4</v>
      </c>
      <c r="B127" s="78">
        <v>2025</v>
      </c>
      <c r="C127" s="79" t="s">
        <v>61</v>
      </c>
      <c r="D127" s="79">
        <v>-300</v>
      </c>
      <c r="E127" s="79">
        <v>150.011</v>
      </c>
      <c r="F127" s="79">
        <v>1.0999999999967258E-2</v>
      </c>
    </row>
    <row r="128" spans="1:6">
      <c r="A128" s="57">
        <v>5</v>
      </c>
      <c r="B128" s="78">
        <v>2025</v>
      </c>
      <c r="C128" s="79" t="s">
        <v>61</v>
      </c>
      <c r="D128" s="79">
        <v>0</v>
      </c>
      <c r="E128" s="79">
        <v>1.09999999999673E-2</v>
      </c>
      <c r="F128" s="79">
        <v>150.01099999999997</v>
      </c>
    </row>
    <row r="129" spans="1:6">
      <c r="A129" s="57">
        <v>6</v>
      </c>
      <c r="B129" s="78">
        <v>2025</v>
      </c>
      <c r="C129" s="79" t="s">
        <v>61</v>
      </c>
      <c r="D129" s="79">
        <v>0</v>
      </c>
      <c r="E129" s="79">
        <v>150.011</v>
      </c>
      <c r="F129" s="79">
        <v>300.01099999999997</v>
      </c>
    </row>
    <row r="130" spans="1:6">
      <c r="A130" s="57">
        <v>7</v>
      </c>
      <c r="B130" s="78">
        <v>2025</v>
      </c>
      <c r="C130" s="79" t="s">
        <v>61</v>
      </c>
      <c r="D130" s="79">
        <v>0</v>
      </c>
      <c r="E130" s="79">
        <v>300.01100000000002</v>
      </c>
      <c r="F130" s="79">
        <v>450.01100000000002</v>
      </c>
    </row>
    <row r="131" spans="1:6">
      <c r="A131" s="57">
        <v>8</v>
      </c>
      <c r="B131" s="78">
        <v>2025</v>
      </c>
      <c r="C131" s="79" t="s">
        <v>61</v>
      </c>
      <c r="D131" s="79">
        <v>0</v>
      </c>
      <c r="E131" s="79">
        <v>450.01100000000002</v>
      </c>
      <c r="F131" s="79">
        <v>600.01099999999997</v>
      </c>
    </row>
    <row r="132" spans="1:6">
      <c r="A132" s="57">
        <v>9</v>
      </c>
      <c r="B132" s="78">
        <v>2025</v>
      </c>
      <c r="C132" s="79" t="s">
        <v>61</v>
      </c>
      <c r="D132" s="79">
        <v>0</v>
      </c>
      <c r="E132" s="79">
        <v>600.01099999999997</v>
      </c>
      <c r="F132" s="79">
        <v>750.01099999999997</v>
      </c>
    </row>
    <row r="133" spans="1:6">
      <c r="A133" s="57">
        <v>10</v>
      </c>
      <c r="B133" s="78">
        <v>2025</v>
      </c>
      <c r="C133" s="79" t="s">
        <v>61</v>
      </c>
      <c r="D133" s="79">
        <v>0</v>
      </c>
      <c r="E133" s="79">
        <v>750.01099999999997</v>
      </c>
      <c r="F133" s="79">
        <v>900.01099999999997</v>
      </c>
    </row>
    <row r="134" spans="1:6">
      <c r="A134" s="57">
        <v>11</v>
      </c>
      <c r="B134" s="78">
        <v>2025</v>
      </c>
      <c r="C134" s="79" t="s">
        <v>61</v>
      </c>
      <c r="D134" s="79">
        <v>-1050.01</v>
      </c>
      <c r="E134" s="79">
        <v>900.01099999999997</v>
      </c>
      <c r="F134" s="79">
        <v>9.9999999997635314E-4</v>
      </c>
    </row>
    <row r="135" spans="1:6">
      <c r="A135" s="57">
        <v>12</v>
      </c>
      <c r="B135" s="78">
        <v>2025</v>
      </c>
      <c r="C135" s="79" t="s">
        <v>61</v>
      </c>
      <c r="D135" s="79">
        <v>0</v>
      </c>
      <c r="E135" s="79">
        <v>9.9999999997635292E-4</v>
      </c>
      <c r="F135" s="79">
        <v>150.00099999999998</v>
      </c>
    </row>
    <row r="136" spans="1:6">
      <c r="A136" s="57">
        <v>1</v>
      </c>
      <c r="B136" s="78">
        <v>2024</v>
      </c>
      <c r="C136" s="79" t="s">
        <v>32</v>
      </c>
      <c r="D136" s="79">
        <v>0</v>
      </c>
      <c r="E136" s="79">
        <v>696</v>
      </c>
      <c r="F136" s="79">
        <v>696</v>
      </c>
    </row>
    <row r="137" spans="1:6">
      <c r="A137" s="57">
        <v>2</v>
      </c>
      <c r="B137" s="78">
        <v>2024</v>
      </c>
      <c r="C137" s="79" t="s">
        <v>32</v>
      </c>
      <c r="D137" s="79">
        <v>-164.94</v>
      </c>
      <c r="E137" s="79">
        <v>696</v>
      </c>
      <c r="F137" s="79">
        <v>831.06</v>
      </c>
    </row>
    <row r="138" spans="1:6">
      <c r="A138" s="57">
        <v>3</v>
      </c>
      <c r="B138" s="78">
        <v>2024</v>
      </c>
      <c r="C138" s="79" t="s">
        <v>32</v>
      </c>
      <c r="D138" s="79">
        <v>-602.22</v>
      </c>
      <c r="E138" s="79">
        <v>831.06</v>
      </c>
      <c r="F138" s="79">
        <v>528.83999999999992</v>
      </c>
    </row>
    <row r="139" spans="1:6">
      <c r="A139" s="57">
        <v>4</v>
      </c>
      <c r="B139" s="78">
        <v>2024</v>
      </c>
      <c r="C139" s="79" t="s">
        <v>32</v>
      </c>
      <c r="D139" s="79">
        <v>-173.10000000000002</v>
      </c>
      <c r="E139" s="79">
        <v>528.84</v>
      </c>
      <c r="F139" s="79">
        <v>655.74</v>
      </c>
    </row>
    <row r="140" spans="1:6">
      <c r="A140" s="57">
        <v>5</v>
      </c>
      <c r="B140" s="78">
        <v>2024</v>
      </c>
      <c r="C140" s="79" t="s">
        <v>32</v>
      </c>
      <c r="D140" s="79">
        <v>-1029.51</v>
      </c>
      <c r="E140" s="79">
        <v>655.74</v>
      </c>
      <c r="F140" s="79">
        <v>-73.769999999999982</v>
      </c>
    </row>
    <row r="141" spans="1:6">
      <c r="A141" s="57">
        <v>6</v>
      </c>
      <c r="B141" s="78">
        <v>2024</v>
      </c>
      <c r="C141" s="79" t="s">
        <v>32</v>
      </c>
      <c r="D141" s="79">
        <v>-573.79999999999995</v>
      </c>
      <c r="E141" s="79">
        <v>-73.77</v>
      </c>
      <c r="F141" s="79">
        <v>-347.56999999999994</v>
      </c>
    </row>
    <row r="142" spans="1:6">
      <c r="A142" s="57">
        <v>7</v>
      </c>
      <c r="B142" s="78">
        <v>2024</v>
      </c>
      <c r="C142" s="79" t="s">
        <v>32</v>
      </c>
      <c r="D142" s="79">
        <v>-1076.23</v>
      </c>
      <c r="E142" s="79">
        <v>-347.57</v>
      </c>
      <c r="F142" s="79">
        <v>-1123.8</v>
      </c>
    </row>
    <row r="143" spans="1:6">
      <c r="A143" s="57">
        <v>8</v>
      </c>
      <c r="B143" s="78">
        <v>2024</v>
      </c>
      <c r="C143" s="79" t="s">
        <v>32</v>
      </c>
      <c r="D143" s="79">
        <v>-340.29</v>
      </c>
      <c r="E143" s="79">
        <v>-1123.8</v>
      </c>
      <c r="F143" s="79">
        <v>-1164.0899999999999</v>
      </c>
    </row>
    <row r="144" spans="1:6">
      <c r="A144" s="57">
        <v>9</v>
      </c>
      <c r="B144" s="78">
        <v>2024</v>
      </c>
      <c r="C144" s="79" t="s">
        <v>32</v>
      </c>
      <c r="D144" s="79">
        <v>-21.500000000000007</v>
      </c>
      <c r="E144" s="79">
        <v>-1164.0899999999999</v>
      </c>
      <c r="F144" s="79">
        <v>-885.58999999999992</v>
      </c>
    </row>
    <row r="145" spans="1:6">
      <c r="A145" s="57">
        <v>10</v>
      </c>
      <c r="B145" s="78">
        <v>2024</v>
      </c>
      <c r="C145" s="79" t="s">
        <v>32</v>
      </c>
      <c r="D145" s="79">
        <v>3.0799999999999841</v>
      </c>
      <c r="E145" s="79">
        <v>-885.59</v>
      </c>
      <c r="F145" s="79">
        <v>-582.51</v>
      </c>
    </row>
    <row r="146" spans="1:6">
      <c r="A146" s="57">
        <v>11</v>
      </c>
      <c r="B146" s="78">
        <v>2024</v>
      </c>
      <c r="C146" s="79" t="s">
        <v>32</v>
      </c>
      <c r="D146" s="79">
        <v>-153.94999999999999</v>
      </c>
      <c r="E146" s="79">
        <v>-582.51</v>
      </c>
      <c r="F146" s="79">
        <v>-436.46</v>
      </c>
    </row>
    <row r="147" spans="1:6">
      <c r="A147" s="57">
        <v>12</v>
      </c>
      <c r="B147" s="78">
        <v>2024</v>
      </c>
      <c r="C147" s="79" t="s">
        <v>32</v>
      </c>
      <c r="D147" s="79">
        <v>-262.14</v>
      </c>
      <c r="E147" s="79">
        <v>-436.46</v>
      </c>
      <c r="F147" s="79">
        <v>-398.6</v>
      </c>
    </row>
    <row r="148" spans="1:6">
      <c r="A148" s="57">
        <v>1</v>
      </c>
      <c r="B148" s="78">
        <v>2025</v>
      </c>
      <c r="C148" s="79" t="s">
        <v>32</v>
      </c>
      <c r="D148" s="79">
        <v>-282.47000000000003</v>
      </c>
      <c r="E148" s="79">
        <v>-398.6</v>
      </c>
      <c r="F148" s="79">
        <v>-381.07000000000011</v>
      </c>
    </row>
    <row r="149" spans="1:6">
      <c r="A149" s="57">
        <v>2</v>
      </c>
      <c r="B149" s="78">
        <v>2025</v>
      </c>
      <c r="C149" s="79" t="s">
        <v>32</v>
      </c>
      <c r="D149" s="79">
        <v>-86.72</v>
      </c>
      <c r="E149" s="79">
        <v>-381.07</v>
      </c>
      <c r="F149" s="79">
        <v>-167.79</v>
      </c>
    </row>
    <row r="150" spans="1:6">
      <c r="A150" s="57">
        <v>3</v>
      </c>
      <c r="B150" s="78">
        <v>2025</v>
      </c>
      <c r="C150" s="79" t="s">
        <v>32</v>
      </c>
      <c r="D150" s="79">
        <v>-75.05</v>
      </c>
      <c r="E150" s="79">
        <v>-167.79</v>
      </c>
      <c r="F150" s="79">
        <v>57.160000000000011</v>
      </c>
    </row>
    <row r="151" spans="1:6">
      <c r="A151" s="57">
        <v>4</v>
      </c>
      <c r="B151" s="78">
        <v>2025</v>
      </c>
      <c r="C151" s="79" t="s">
        <v>32</v>
      </c>
      <c r="D151" s="79">
        <v>-198.44</v>
      </c>
      <c r="E151" s="79">
        <v>57.16</v>
      </c>
      <c r="F151" s="79">
        <v>158.71999999999997</v>
      </c>
    </row>
    <row r="152" spans="1:6">
      <c r="A152" s="57">
        <v>5</v>
      </c>
      <c r="B152" s="78">
        <v>2025</v>
      </c>
      <c r="C152" s="79" t="s">
        <v>32</v>
      </c>
      <c r="D152" s="79">
        <v>-171.24</v>
      </c>
      <c r="E152" s="79">
        <v>158.72</v>
      </c>
      <c r="F152" s="79">
        <v>287.48</v>
      </c>
    </row>
    <row r="153" spans="1:6">
      <c r="A153" s="57">
        <v>6</v>
      </c>
      <c r="B153" s="78">
        <v>2025</v>
      </c>
      <c r="C153" s="79" t="s">
        <v>32</v>
      </c>
      <c r="D153" s="79">
        <v>-141.09</v>
      </c>
      <c r="E153" s="79">
        <v>287.48</v>
      </c>
      <c r="F153" s="79">
        <v>446.39</v>
      </c>
    </row>
    <row r="154" spans="1:6">
      <c r="A154" s="57">
        <v>7</v>
      </c>
      <c r="B154" s="78">
        <v>2025</v>
      </c>
      <c r="C154" s="79" t="s">
        <v>32</v>
      </c>
      <c r="D154" s="79">
        <v>-289.62</v>
      </c>
      <c r="E154" s="79">
        <v>446.39</v>
      </c>
      <c r="F154" s="79">
        <v>456.77</v>
      </c>
    </row>
    <row r="155" spans="1:6">
      <c r="A155" s="57">
        <v>8</v>
      </c>
      <c r="B155" s="78">
        <v>2025</v>
      </c>
      <c r="C155" s="79" t="s">
        <v>32</v>
      </c>
      <c r="D155" s="79">
        <v>-552.74</v>
      </c>
      <c r="E155" s="79">
        <v>456.77</v>
      </c>
      <c r="F155" s="79">
        <v>204.02999999999997</v>
      </c>
    </row>
    <row r="156" spans="1:6">
      <c r="A156" s="57">
        <v>9</v>
      </c>
      <c r="B156" s="78">
        <v>2025</v>
      </c>
      <c r="C156" s="79" t="s">
        <v>32</v>
      </c>
      <c r="D156" s="79">
        <v>-184.46</v>
      </c>
      <c r="E156" s="79">
        <v>204.03</v>
      </c>
      <c r="F156" s="79">
        <v>319.56999999999994</v>
      </c>
    </row>
    <row r="157" spans="1:6">
      <c r="A157" s="57">
        <v>10</v>
      </c>
      <c r="B157" s="78">
        <v>2025</v>
      </c>
      <c r="C157" s="79" t="s">
        <v>32</v>
      </c>
      <c r="D157" s="79">
        <v>-475.59</v>
      </c>
      <c r="E157" s="79">
        <v>319.57</v>
      </c>
      <c r="F157" s="79">
        <v>143.97999999999996</v>
      </c>
    </row>
    <row r="158" spans="1:6">
      <c r="A158" s="57">
        <v>11</v>
      </c>
      <c r="B158" s="78">
        <v>2025</v>
      </c>
      <c r="C158" s="79" t="s">
        <v>32</v>
      </c>
      <c r="D158" s="79">
        <v>-136.07</v>
      </c>
      <c r="E158" s="79">
        <v>143.97999999999999</v>
      </c>
      <c r="F158" s="79">
        <v>307.91000000000003</v>
      </c>
    </row>
    <row r="159" spans="1:6">
      <c r="A159" s="57">
        <v>12</v>
      </c>
      <c r="B159" s="78">
        <v>2025</v>
      </c>
      <c r="C159" s="79" t="s">
        <v>32</v>
      </c>
      <c r="D159" s="79">
        <v>0</v>
      </c>
      <c r="E159" s="79">
        <v>307.91000000000003</v>
      </c>
      <c r="F159" s="79">
        <v>507.91</v>
      </c>
    </row>
    <row r="160" spans="1:6">
      <c r="A160" s="57">
        <v>1</v>
      </c>
      <c r="B160" s="78">
        <v>2024</v>
      </c>
      <c r="C160" s="79" t="s">
        <v>56</v>
      </c>
      <c r="D160" s="79">
        <v>0</v>
      </c>
      <c r="E160" s="79">
        <v>300.18</v>
      </c>
      <c r="F160" s="79">
        <v>300.18</v>
      </c>
    </row>
    <row r="161" spans="1:6">
      <c r="A161" s="57">
        <v>2</v>
      </c>
      <c r="B161" s="78">
        <v>2024</v>
      </c>
      <c r="C161" s="79" t="s">
        <v>56</v>
      </c>
      <c r="D161" s="79">
        <v>-39.36</v>
      </c>
      <c r="E161" s="79">
        <v>300.18</v>
      </c>
      <c r="F161" s="79">
        <v>260.83</v>
      </c>
    </row>
    <row r="162" spans="1:6">
      <c r="A162" s="57">
        <v>3</v>
      </c>
      <c r="B162" s="78">
        <v>2024</v>
      </c>
      <c r="C162" s="79" t="s">
        <v>56</v>
      </c>
      <c r="D162" s="79">
        <v>-174.87</v>
      </c>
      <c r="E162" s="79">
        <v>260.83</v>
      </c>
      <c r="F162" s="79">
        <v>185.96</v>
      </c>
    </row>
    <row r="163" spans="1:6">
      <c r="A163" s="57">
        <v>4</v>
      </c>
      <c r="B163" s="78">
        <v>2024</v>
      </c>
      <c r="C163" s="79" t="s">
        <v>56</v>
      </c>
      <c r="D163" s="79">
        <v>0</v>
      </c>
      <c r="E163" s="79">
        <v>185.96</v>
      </c>
      <c r="F163" s="79">
        <v>285.96000000000004</v>
      </c>
    </row>
    <row r="164" spans="1:6">
      <c r="A164" s="57">
        <v>5</v>
      </c>
      <c r="B164" s="78">
        <v>2024</v>
      </c>
      <c r="C164" s="79" t="s">
        <v>56</v>
      </c>
      <c r="D164" s="79">
        <v>0</v>
      </c>
      <c r="E164" s="79">
        <v>285.95999999999998</v>
      </c>
      <c r="F164" s="79">
        <v>385.96</v>
      </c>
    </row>
    <row r="165" spans="1:6">
      <c r="A165" s="57">
        <v>6</v>
      </c>
      <c r="B165" s="78">
        <v>2024</v>
      </c>
      <c r="C165" s="79" t="s">
        <v>56</v>
      </c>
      <c r="D165" s="79">
        <v>0</v>
      </c>
      <c r="E165" s="79">
        <v>385.96</v>
      </c>
      <c r="F165" s="79">
        <v>485.96</v>
      </c>
    </row>
    <row r="166" spans="1:6">
      <c r="A166" s="57">
        <v>7</v>
      </c>
      <c r="B166" s="78">
        <v>2024</v>
      </c>
      <c r="C166" s="79" t="s">
        <v>56</v>
      </c>
      <c r="D166" s="79">
        <v>0</v>
      </c>
      <c r="E166" s="79">
        <v>485.96</v>
      </c>
      <c r="F166" s="79">
        <v>585.96</v>
      </c>
    </row>
    <row r="167" spans="1:6">
      <c r="A167" s="57">
        <v>8</v>
      </c>
      <c r="B167" s="78">
        <v>2024</v>
      </c>
      <c r="C167" s="79" t="s">
        <v>56</v>
      </c>
      <c r="D167" s="79">
        <v>0</v>
      </c>
      <c r="E167" s="79">
        <v>585.96</v>
      </c>
      <c r="F167" s="79">
        <v>685.96</v>
      </c>
    </row>
    <row r="168" spans="1:6">
      <c r="A168" s="57">
        <v>9</v>
      </c>
      <c r="B168" s="78">
        <v>2024</v>
      </c>
      <c r="C168" s="79" t="s">
        <v>56</v>
      </c>
      <c r="D168" s="79">
        <v>0</v>
      </c>
      <c r="E168" s="79">
        <v>685.96</v>
      </c>
      <c r="F168" s="79">
        <v>785.96</v>
      </c>
    </row>
    <row r="169" spans="1:6">
      <c r="A169" s="57">
        <v>10</v>
      </c>
      <c r="B169" s="78">
        <v>2024</v>
      </c>
      <c r="C169" s="79" t="s">
        <v>56</v>
      </c>
      <c r="D169" s="79">
        <v>48.58</v>
      </c>
      <c r="E169" s="79">
        <v>785.96</v>
      </c>
      <c r="F169" s="79">
        <v>934.54</v>
      </c>
    </row>
    <row r="170" spans="1:6">
      <c r="A170" s="57">
        <v>11</v>
      </c>
      <c r="B170" s="78">
        <v>2024</v>
      </c>
      <c r="C170" s="79" t="s">
        <v>56</v>
      </c>
      <c r="D170" s="79">
        <v>-222.17</v>
      </c>
      <c r="E170" s="79">
        <v>934.54</v>
      </c>
      <c r="F170" s="79">
        <v>812.37</v>
      </c>
    </row>
    <row r="171" spans="1:6">
      <c r="A171" s="57">
        <v>12</v>
      </c>
      <c r="B171" s="78">
        <v>2024</v>
      </c>
      <c r="C171" s="79" t="s">
        <v>56</v>
      </c>
      <c r="D171" s="79">
        <v>0</v>
      </c>
      <c r="E171" s="79">
        <v>812.37</v>
      </c>
      <c r="F171" s="79">
        <v>912.37</v>
      </c>
    </row>
    <row r="172" spans="1:6">
      <c r="A172" s="57">
        <v>1</v>
      </c>
      <c r="B172" s="78">
        <v>2025</v>
      </c>
      <c r="C172" s="79" t="s">
        <v>56</v>
      </c>
      <c r="D172" s="79">
        <v>-16.940000000000001</v>
      </c>
      <c r="E172" s="79">
        <v>912.37</v>
      </c>
      <c r="F172" s="79">
        <v>995.43</v>
      </c>
    </row>
    <row r="173" spans="1:6">
      <c r="A173" s="57">
        <v>2</v>
      </c>
      <c r="B173" s="78">
        <v>2025</v>
      </c>
      <c r="C173" s="79" t="s">
        <v>56</v>
      </c>
      <c r="D173" s="79">
        <v>0</v>
      </c>
      <c r="E173" s="79">
        <v>995.43</v>
      </c>
      <c r="F173" s="79">
        <v>1095.4299999999998</v>
      </c>
    </row>
    <row r="174" spans="1:6">
      <c r="A174" s="57">
        <v>3</v>
      </c>
      <c r="B174" s="78">
        <v>2025</v>
      </c>
      <c r="C174" s="79" t="s">
        <v>56</v>
      </c>
      <c r="D174" s="79">
        <v>0</v>
      </c>
      <c r="E174" s="79">
        <v>1095.43</v>
      </c>
      <c r="F174" s="79">
        <v>1195.43</v>
      </c>
    </row>
    <row r="175" spans="1:6">
      <c r="A175" s="57">
        <v>4</v>
      </c>
      <c r="B175" s="78">
        <v>2025</v>
      </c>
      <c r="C175" s="79" t="s">
        <v>56</v>
      </c>
      <c r="D175" s="79">
        <v>-164.9</v>
      </c>
      <c r="E175" s="79">
        <v>1195.43</v>
      </c>
      <c r="F175" s="79">
        <v>1130.53</v>
      </c>
    </row>
    <row r="176" spans="1:6">
      <c r="A176" s="57">
        <v>5</v>
      </c>
      <c r="B176" s="78">
        <v>2025</v>
      </c>
      <c r="C176" s="79" t="s">
        <v>56</v>
      </c>
      <c r="D176" s="79">
        <v>-242.62</v>
      </c>
      <c r="E176" s="79">
        <v>1130.53</v>
      </c>
      <c r="F176" s="79">
        <v>987.91</v>
      </c>
    </row>
    <row r="177" spans="1:6">
      <c r="A177" s="57">
        <v>6</v>
      </c>
      <c r="B177" s="78">
        <v>2025</v>
      </c>
      <c r="C177" s="79" t="s">
        <v>56</v>
      </c>
      <c r="D177" s="79">
        <v>-2465</v>
      </c>
      <c r="E177" s="79">
        <v>987.91</v>
      </c>
      <c r="F177" s="79">
        <v>-1377.09</v>
      </c>
    </row>
    <row r="178" spans="1:6">
      <c r="A178" s="57">
        <v>7</v>
      </c>
      <c r="B178" s="78">
        <v>2025</v>
      </c>
      <c r="C178" s="79" t="s">
        <v>56</v>
      </c>
      <c r="D178" s="79">
        <v>0</v>
      </c>
      <c r="E178" s="79">
        <v>-1377.09</v>
      </c>
      <c r="F178" s="79">
        <v>-1077.0899999999999</v>
      </c>
    </row>
    <row r="179" spans="1:6">
      <c r="A179" s="57">
        <v>8</v>
      </c>
      <c r="B179" s="78">
        <v>2025</v>
      </c>
      <c r="C179" s="79" t="s">
        <v>56</v>
      </c>
      <c r="D179" s="79">
        <v>-97.6</v>
      </c>
      <c r="E179" s="79">
        <v>-1077.0899999999999</v>
      </c>
      <c r="F179" s="79">
        <v>-874.68999999999994</v>
      </c>
    </row>
    <row r="180" spans="1:6">
      <c r="A180" s="57">
        <v>9</v>
      </c>
      <c r="B180" s="78">
        <v>2025</v>
      </c>
      <c r="C180" s="79" t="s">
        <v>56</v>
      </c>
      <c r="D180" s="79">
        <v>0</v>
      </c>
      <c r="E180" s="79">
        <v>-874.69</v>
      </c>
      <c r="F180" s="79">
        <v>-574.69000000000005</v>
      </c>
    </row>
    <row r="181" spans="1:6">
      <c r="A181" s="57">
        <v>10</v>
      </c>
      <c r="B181" s="78">
        <v>2025</v>
      </c>
      <c r="C181" s="79" t="s">
        <v>56</v>
      </c>
      <c r="D181" s="79">
        <v>0</v>
      </c>
      <c r="E181" s="79">
        <v>-574.69000000000005</v>
      </c>
      <c r="F181" s="79">
        <v>-274.69000000000005</v>
      </c>
    </row>
    <row r="182" spans="1:6">
      <c r="A182" s="57">
        <v>11</v>
      </c>
      <c r="B182" s="78">
        <v>2025</v>
      </c>
      <c r="C182" s="79" t="s">
        <v>56</v>
      </c>
      <c r="D182" s="79">
        <v>0</v>
      </c>
      <c r="E182" s="79">
        <v>-274.69</v>
      </c>
      <c r="F182" s="79">
        <v>25.310000000000002</v>
      </c>
    </row>
    <row r="183" spans="1:6">
      <c r="A183" s="57">
        <v>12</v>
      </c>
      <c r="B183" s="78">
        <v>2025</v>
      </c>
      <c r="C183" s="79" t="s">
        <v>56</v>
      </c>
      <c r="D183" s="79">
        <v>0</v>
      </c>
      <c r="E183" s="79">
        <v>25.31</v>
      </c>
      <c r="F183" s="79">
        <v>325.31</v>
      </c>
    </row>
    <row r="184" spans="1:6">
      <c r="A184" s="57">
        <v>1</v>
      </c>
      <c r="B184" s="78">
        <v>2024</v>
      </c>
      <c r="C184" s="79" t="s">
        <v>55</v>
      </c>
      <c r="D184" s="79">
        <v>0</v>
      </c>
      <c r="E184" s="79">
        <v>-56</v>
      </c>
      <c r="F184" s="79">
        <v>-56</v>
      </c>
    </row>
    <row r="185" spans="1:6">
      <c r="A185" s="57">
        <v>2</v>
      </c>
      <c r="B185" s="78">
        <v>2024</v>
      </c>
      <c r="C185" s="79" t="s">
        <v>55</v>
      </c>
      <c r="D185" s="79">
        <v>-296.02</v>
      </c>
      <c r="E185" s="79">
        <v>-56</v>
      </c>
      <c r="F185" s="79">
        <v>-252.02</v>
      </c>
    </row>
    <row r="186" spans="1:6">
      <c r="A186" s="57">
        <v>3</v>
      </c>
      <c r="B186" s="78">
        <v>2024</v>
      </c>
      <c r="C186" s="79" t="s">
        <v>55</v>
      </c>
      <c r="D186" s="79">
        <v>-2.8199999999999932</v>
      </c>
      <c r="E186" s="79">
        <v>-252.02</v>
      </c>
      <c r="F186" s="79">
        <v>-154.84</v>
      </c>
    </row>
    <row r="187" spans="1:6">
      <c r="A187" s="57">
        <v>4</v>
      </c>
      <c r="B187" s="78">
        <v>2024</v>
      </c>
      <c r="C187" s="79" t="s">
        <v>55</v>
      </c>
      <c r="D187" s="79">
        <v>-271.35000000000002</v>
      </c>
      <c r="E187" s="79">
        <v>-154.84</v>
      </c>
      <c r="F187" s="79">
        <v>-326.19000000000005</v>
      </c>
    </row>
    <row r="188" spans="1:6">
      <c r="A188" s="57">
        <v>5</v>
      </c>
      <c r="B188" s="78">
        <v>2024</v>
      </c>
      <c r="C188" s="79" t="s">
        <v>55</v>
      </c>
      <c r="D188" s="79">
        <v>0</v>
      </c>
      <c r="E188" s="79">
        <v>-326.19</v>
      </c>
      <c r="F188" s="79">
        <v>-176.19</v>
      </c>
    </row>
    <row r="189" spans="1:6">
      <c r="A189" s="57">
        <v>6</v>
      </c>
      <c r="B189" s="78">
        <v>2024</v>
      </c>
      <c r="C189" s="79" t="s">
        <v>55</v>
      </c>
      <c r="D189" s="79">
        <v>0</v>
      </c>
      <c r="E189" s="79">
        <v>-176.19</v>
      </c>
      <c r="F189" s="79">
        <v>-26.19</v>
      </c>
    </row>
    <row r="190" spans="1:6">
      <c r="A190" s="57">
        <v>7</v>
      </c>
      <c r="B190" s="78">
        <v>2024</v>
      </c>
      <c r="C190" s="79" t="s">
        <v>55</v>
      </c>
      <c r="D190" s="79">
        <v>0</v>
      </c>
      <c r="E190" s="79">
        <v>-26.19</v>
      </c>
      <c r="F190" s="79">
        <v>123.81</v>
      </c>
    </row>
    <row r="191" spans="1:6">
      <c r="A191" s="57">
        <v>8</v>
      </c>
      <c r="B191" s="78">
        <v>2024</v>
      </c>
      <c r="C191" s="79" t="s">
        <v>55</v>
      </c>
      <c r="D191" s="79">
        <v>0</v>
      </c>
      <c r="E191" s="79">
        <v>123.81</v>
      </c>
      <c r="F191" s="79">
        <v>273.81</v>
      </c>
    </row>
    <row r="192" spans="1:6">
      <c r="A192" s="57">
        <v>9</v>
      </c>
      <c r="B192" s="78">
        <v>2024</v>
      </c>
      <c r="C192" s="79" t="s">
        <v>55</v>
      </c>
      <c r="D192" s="79">
        <v>0</v>
      </c>
      <c r="E192" s="79">
        <v>273.81</v>
      </c>
      <c r="F192" s="79">
        <v>423.81</v>
      </c>
    </row>
    <row r="193" spans="1:6">
      <c r="A193" s="57">
        <v>10</v>
      </c>
      <c r="B193" s="78">
        <v>2024</v>
      </c>
      <c r="C193" s="79" t="s">
        <v>55</v>
      </c>
      <c r="D193" s="79">
        <v>0</v>
      </c>
      <c r="E193" s="79">
        <v>423.81</v>
      </c>
      <c r="F193" s="79">
        <v>573.80999999999995</v>
      </c>
    </row>
    <row r="194" spans="1:6" ht="13.5" customHeight="1">
      <c r="A194" s="57">
        <v>11</v>
      </c>
      <c r="B194" s="78">
        <v>2024</v>
      </c>
      <c r="C194" s="79" t="s">
        <v>55</v>
      </c>
      <c r="D194" s="79">
        <v>-279.26</v>
      </c>
      <c r="E194" s="79">
        <v>573.80999999999995</v>
      </c>
      <c r="F194" s="79">
        <v>444.5499999999999</v>
      </c>
    </row>
    <row r="195" spans="1:6" ht="13.5" customHeight="1">
      <c r="A195" s="57">
        <v>12</v>
      </c>
      <c r="B195" s="78">
        <v>2024</v>
      </c>
      <c r="C195" s="79" t="s">
        <v>55</v>
      </c>
      <c r="D195" s="79">
        <v>-96.04</v>
      </c>
      <c r="E195" s="79">
        <v>444.55</v>
      </c>
      <c r="F195" s="79">
        <v>498.50999999999993</v>
      </c>
    </row>
    <row r="196" spans="1:6" ht="13.5" customHeight="1">
      <c r="A196" s="57">
        <v>1</v>
      </c>
      <c r="B196" s="78">
        <v>2025</v>
      </c>
      <c r="C196" s="79" t="s">
        <v>55</v>
      </c>
      <c r="D196" s="79">
        <v>-282.58</v>
      </c>
      <c r="E196" s="79">
        <v>498.51</v>
      </c>
      <c r="F196" s="79">
        <v>365.93</v>
      </c>
    </row>
    <row r="197" spans="1:6" ht="13.5" customHeight="1">
      <c r="A197" s="57">
        <v>2</v>
      </c>
      <c r="B197" s="78">
        <v>2025</v>
      </c>
      <c r="C197" s="79" t="s">
        <v>55</v>
      </c>
      <c r="D197" s="79">
        <v>-326.61</v>
      </c>
      <c r="E197" s="79">
        <v>365.93</v>
      </c>
      <c r="F197" s="79">
        <v>189.32000000000005</v>
      </c>
    </row>
    <row r="198" spans="1:6">
      <c r="A198" s="57">
        <v>3</v>
      </c>
      <c r="B198" s="78">
        <v>2025</v>
      </c>
      <c r="C198" s="79" t="s">
        <v>55</v>
      </c>
      <c r="D198" s="79">
        <v>-151.08000000000001</v>
      </c>
      <c r="E198" s="79">
        <v>189.32</v>
      </c>
      <c r="F198" s="79">
        <v>188.24</v>
      </c>
    </row>
    <row r="199" spans="1:6">
      <c r="A199" s="57">
        <v>4</v>
      </c>
      <c r="B199" s="78">
        <v>2025</v>
      </c>
      <c r="C199" s="79" t="s">
        <v>55</v>
      </c>
      <c r="D199" s="79">
        <v>-165.49</v>
      </c>
      <c r="E199" s="79">
        <v>188.24</v>
      </c>
      <c r="F199" s="79">
        <v>172.75</v>
      </c>
    </row>
    <row r="200" spans="1:6">
      <c r="A200" s="57">
        <v>5</v>
      </c>
      <c r="B200" s="78">
        <v>2025</v>
      </c>
      <c r="C200" s="79" t="s">
        <v>55</v>
      </c>
      <c r="D200" s="79">
        <v>-90.04</v>
      </c>
      <c r="E200" s="79">
        <v>172.75</v>
      </c>
      <c r="F200" s="79">
        <v>232.71</v>
      </c>
    </row>
    <row r="201" spans="1:6">
      <c r="A201" s="57">
        <v>6</v>
      </c>
      <c r="B201" s="78">
        <v>2025</v>
      </c>
      <c r="C201" s="79" t="s">
        <v>55</v>
      </c>
      <c r="D201" s="79">
        <v>-65.53</v>
      </c>
      <c r="E201" s="79">
        <v>232.71</v>
      </c>
      <c r="F201" s="79">
        <v>317.18000000000006</v>
      </c>
    </row>
    <row r="202" spans="1:6">
      <c r="A202" s="57">
        <v>7</v>
      </c>
      <c r="B202" s="78">
        <v>2025</v>
      </c>
      <c r="C202" s="79" t="s">
        <v>55</v>
      </c>
      <c r="D202" s="79">
        <v>-136.12</v>
      </c>
      <c r="E202" s="79">
        <v>317.18</v>
      </c>
      <c r="F202" s="79">
        <v>331.06</v>
      </c>
    </row>
    <row r="203" spans="1:6">
      <c r="A203" s="57">
        <v>8</v>
      </c>
      <c r="B203" s="78">
        <v>2025</v>
      </c>
      <c r="C203" s="79" t="s">
        <v>55</v>
      </c>
      <c r="D203" s="79">
        <v>-466.2</v>
      </c>
      <c r="E203" s="79">
        <v>331.06</v>
      </c>
      <c r="F203" s="79">
        <v>14.860000000000014</v>
      </c>
    </row>
    <row r="204" spans="1:6">
      <c r="A204" s="57">
        <v>9</v>
      </c>
      <c r="B204" s="78">
        <v>2025</v>
      </c>
      <c r="C204" s="79" t="s">
        <v>55</v>
      </c>
      <c r="D204" s="79">
        <v>-187.31</v>
      </c>
      <c r="E204" s="79">
        <v>14.86</v>
      </c>
      <c r="F204" s="79">
        <v>-22.449999999999989</v>
      </c>
    </row>
    <row r="205" spans="1:6">
      <c r="A205" s="57">
        <v>10</v>
      </c>
      <c r="B205" s="78">
        <v>2025</v>
      </c>
      <c r="C205" s="79" t="s">
        <v>55</v>
      </c>
      <c r="D205" s="79">
        <v>-45</v>
      </c>
      <c r="E205" s="79">
        <v>-22.45</v>
      </c>
      <c r="F205" s="79">
        <v>82.55</v>
      </c>
    </row>
    <row r="206" spans="1:6">
      <c r="A206" s="57">
        <v>11</v>
      </c>
      <c r="B206" s="78">
        <v>2025</v>
      </c>
      <c r="C206" s="79" t="s">
        <v>55</v>
      </c>
      <c r="D206" s="79">
        <v>-757.94</v>
      </c>
      <c r="E206" s="79">
        <v>82.55</v>
      </c>
      <c r="F206" s="79">
        <v>-525.3900000000001</v>
      </c>
    </row>
    <row r="207" spans="1:6">
      <c r="A207" s="57">
        <v>12</v>
      </c>
      <c r="B207" s="78">
        <v>2025</v>
      </c>
      <c r="C207" s="79" t="s">
        <v>55</v>
      </c>
      <c r="D207" s="79">
        <v>0</v>
      </c>
      <c r="E207" s="79">
        <v>-525.39</v>
      </c>
      <c r="F207" s="79">
        <v>-375.39</v>
      </c>
    </row>
    <row r="208" spans="1:6">
      <c r="A208" s="57">
        <v>1</v>
      </c>
      <c r="B208" s="78">
        <v>2024</v>
      </c>
      <c r="C208" s="79" t="s">
        <v>44</v>
      </c>
      <c r="D208" s="79">
        <v>0</v>
      </c>
      <c r="E208" s="79">
        <v>529.4</v>
      </c>
      <c r="F208" s="79">
        <v>529.4</v>
      </c>
    </row>
    <row r="209" spans="1:6">
      <c r="A209" s="57">
        <v>2</v>
      </c>
      <c r="B209" s="78">
        <v>2024</v>
      </c>
      <c r="C209" s="79" t="s">
        <v>44</v>
      </c>
      <c r="D209" s="79">
        <v>0</v>
      </c>
      <c r="E209" s="79">
        <v>529.4</v>
      </c>
      <c r="F209" s="79">
        <v>529.41</v>
      </c>
    </row>
    <row r="210" spans="1:6">
      <c r="A210" s="57">
        <v>3</v>
      </c>
      <c r="B210" s="78">
        <v>2024</v>
      </c>
      <c r="C210" s="79" t="s">
        <v>44</v>
      </c>
      <c r="D210" s="79">
        <v>-51.72</v>
      </c>
      <c r="E210" s="79">
        <v>529.41</v>
      </c>
      <c r="F210" s="79">
        <v>617.68999999999994</v>
      </c>
    </row>
    <row r="211" spans="1:6">
      <c r="A211" s="57">
        <v>4</v>
      </c>
      <c r="B211" s="78">
        <v>2024</v>
      </c>
      <c r="C211" s="79" t="s">
        <v>44</v>
      </c>
      <c r="D211" s="79">
        <v>0</v>
      </c>
      <c r="E211" s="79">
        <v>617.69000000000005</v>
      </c>
      <c r="F211" s="79">
        <v>757.69</v>
      </c>
    </row>
    <row r="212" spans="1:6">
      <c r="A212" s="57">
        <v>5</v>
      </c>
      <c r="B212" s="78">
        <v>2024</v>
      </c>
      <c r="C212" s="79" t="s">
        <v>44</v>
      </c>
      <c r="D212" s="79">
        <v>-278.52</v>
      </c>
      <c r="E212" s="79">
        <v>757.69</v>
      </c>
      <c r="F212" s="79">
        <v>619.17000000000007</v>
      </c>
    </row>
    <row r="213" spans="1:6">
      <c r="A213" s="57">
        <v>6</v>
      </c>
      <c r="B213" s="78">
        <v>2024</v>
      </c>
      <c r="C213" s="79" t="s">
        <v>44</v>
      </c>
      <c r="D213" s="79">
        <v>-62.16</v>
      </c>
      <c r="E213" s="79">
        <v>619.16999999999996</v>
      </c>
      <c r="F213" s="79">
        <v>697.01</v>
      </c>
    </row>
    <row r="214" spans="1:6">
      <c r="A214" s="57">
        <v>7</v>
      </c>
      <c r="B214" s="78">
        <v>2024</v>
      </c>
      <c r="C214" s="79" t="s">
        <v>44</v>
      </c>
      <c r="D214" s="79">
        <v>-637.01</v>
      </c>
      <c r="E214" s="79">
        <v>697.01</v>
      </c>
      <c r="F214" s="79">
        <v>200</v>
      </c>
    </row>
    <row r="215" spans="1:6">
      <c r="A215" s="57">
        <v>8</v>
      </c>
      <c r="B215" s="78">
        <v>2024</v>
      </c>
      <c r="C215" s="79" t="s">
        <v>44</v>
      </c>
      <c r="D215" s="79">
        <v>-92.63</v>
      </c>
      <c r="E215" s="79">
        <v>200</v>
      </c>
      <c r="F215" s="79">
        <v>247.37</v>
      </c>
    </row>
    <row r="216" spans="1:6">
      <c r="A216" s="57">
        <v>9</v>
      </c>
      <c r="B216" s="78">
        <v>2024</v>
      </c>
      <c r="C216" s="79" t="s">
        <v>44</v>
      </c>
      <c r="D216" s="79">
        <v>-30.16</v>
      </c>
      <c r="E216" s="79">
        <v>247.37</v>
      </c>
      <c r="F216" s="79">
        <v>357.21</v>
      </c>
    </row>
    <row r="217" spans="1:6">
      <c r="A217" s="57">
        <v>10</v>
      </c>
      <c r="B217" s="78">
        <v>2024</v>
      </c>
      <c r="C217" s="79" t="s">
        <v>44</v>
      </c>
      <c r="D217" s="79">
        <v>-200</v>
      </c>
      <c r="E217" s="79">
        <v>357.21</v>
      </c>
      <c r="F217" s="79">
        <v>297.20999999999998</v>
      </c>
    </row>
    <row r="218" spans="1:6">
      <c r="A218" s="57">
        <v>11</v>
      </c>
      <c r="B218" s="78">
        <v>2024</v>
      </c>
      <c r="C218" s="79" t="s">
        <v>44</v>
      </c>
      <c r="D218" s="79">
        <v>-113.43</v>
      </c>
      <c r="E218" s="79">
        <v>297.20999999999998</v>
      </c>
      <c r="F218" s="79">
        <v>323.77999999999997</v>
      </c>
    </row>
    <row r="219" spans="1:6">
      <c r="A219" s="57">
        <v>12</v>
      </c>
      <c r="B219" s="78">
        <v>2024</v>
      </c>
      <c r="C219" s="79" t="s">
        <v>44</v>
      </c>
      <c r="D219" s="79">
        <v>-41.25</v>
      </c>
      <c r="E219" s="79">
        <v>323.77999999999997</v>
      </c>
      <c r="F219" s="79">
        <v>422.53</v>
      </c>
    </row>
    <row r="220" spans="1:6">
      <c r="A220" s="57">
        <v>1</v>
      </c>
      <c r="B220" s="78">
        <v>2025</v>
      </c>
      <c r="C220" s="79" t="s">
        <v>44</v>
      </c>
      <c r="D220" s="79">
        <v>-85.49</v>
      </c>
      <c r="E220" s="79">
        <v>422.53</v>
      </c>
      <c r="F220" s="79">
        <v>477.04</v>
      </c>
    </row>
    <row r="221" spans="1:6">
      <c r="A221" s="57">
        <v>2</v>
      </c>
      <c r="B221" s="78">
        <v>2025</v>
      </c>
      <c r="C221" s="79" t="s">
        <v>44</v>
      </c>
      <c r="D221" s="79">
        <v>-67.73</v>
      </c>
      <c r="E221" s="79">
        <v>477.04</v>
      </c>
      <c r="F221" s="79">
        <v>549.30999999999995</v>
      </c>
    </row>
    <row r="222" spans="1:6">
      <c r="A222" s="57">
        <v>3</v>
      </c>
      <c r="B222" s="78">
        <v>2025</v>
      </c>
      <c r="C222" s="79" t="s">
        <v>44</v>
      </c>
      <c r="D222" s="79">
        <v>-67.790000000000006</v>
      </c>
      <c r="E222" s="79">
        <v>549.30999999999995</v>
      </c>
      <c r="F222" s="79">
        <v>621.52</v>
      </c>
    </row>
    <row r="223" spans="1:6">
      <c r="A223" s="57">
        <v>4</v>
      </c>
      <c r="B223" s="78">
        <v>2025</v>
      </c>
      <c r="C223" s="79" t="s">
        <v>44</v>
      </c>
      <c r="D223" s="79">
        <v>0</v>
      </c>
      <c r="E223" s="79">
        <v>621.52</v>
      </c>
      <c r="F223" s="79">
        <v>761.52</v>
      </c>
    </row>
    <row r="224" spans="1:6">
      <c r="A224" s="57">
        <v>5</v>
      </c>
      <c r="B224" s="78">
        <v>2025</v>
      </c>
      <c r="C224" s="79" t="s">
        <v>44</v>
      </c>
      <c r="D224" s="79">
        <v>-111.92</v>
      </c>
      <c r="E224" s="79">
        <v>761.52</v>
      </c>
      <c r="F224" s="79">
        <v>789.6</v>
      </c>
    </row>
    <row r="225" spans="1:6">
      <c r="A225" s="57">
        <v>6</v>
      </c>
      <c r="B225" s="78">
        <v>2025</v>
      </c>
      <c r="C225" s="79" t="s">
        <v>44</v>
      </c>
      <c r="D225" s="79">
        <v>-984.91</v>
      </c>
      <c r="E225" s="79">
        <v>789.6</v>
      </c>
      <c r="F225" s="79">
        <v>-55.310000000000059</v>
      </c>
    </row>
    <row r="226" spans="1:6">
      <c r="A226" s="57">
        <v>7</v>
      </c>
      <c r="B226" s="78">
        <v>2025</v>
      </c>
      <c r="C226" s="79" t="s">
        <v>44</v>
      </c>
      <c r="D226" s="79">
        <v>0</v>
      </c>
      <c r="E226" s="79">
        <v>-55.310000000000102</v>
      </c>
      <c r="F226" s="79">
        <v>84.689999999999898</v>
      </c>
    </row>
    <row r="227" spans="1:6">
      <c r="A227" s="57">
        <v>8</v>
      </c>
      <c r="B227" s="78">
        <v>2025</v>
      </c>
      <c r="C227" s="79" t="s">
        <v>44</v>
      </c>
      <c r="D227" s="79">
        <v>0</v>
      </c>
      <c r="E227" s="79">
        <v>84.689999999999898</v>
      </c>
      <c r="F227" s="79">
        <v>224.68999999999988</v>
      </c>
    </row>
    <row r="228" spans="1:6">
      <c r="A228" s="57">
        <v>9</v>
      </c>
      <c r="B228" s="78">
        <v>2025</v>
      </c>
      <c r="C228" s="79" t="s">
        <v>44</v>
      </c>
      <c r="D228" s="79">
        <v>-61.02</v>
      </c>
      <c r="E228" s="79">
        <v>224.69</v>
      </c>
      <c r="F228" s="79">
        <v>303.67</v>
      </c>
    </row>
    <row r="229" spans="1:6">
      <c r="A229" s="57">
        <v>10</v>
      </c>
      <c r="B229" s="78">
        <v>2025</v>
      </c>
      <c r="C229" s="79" t="s">
        <v>44</v>
      </c>
      <c r="D229" s="79">
        <v>-16.38</v>
      </c>
      <c r="E229" s="79">
        <v>303.67</v>
      </c>
      <c r="F229" s="79">
        <v>427.29</v>
      </c>
    </row>
    <row r="230" spans="1:6">
      <c r="A230" s="57">
        <v>11</v>
      </c>
      <c r="B230" s="78">
        <v>2025</v>
      </c>
      <c r="C230" s="79" t="s">
        <v>44</v>
      </c>
      <c r="D230" s="79">
        <v>-63.28</v>
      </c>
      <c r="E230" s="79">
        <v>427.29</v>
      </c>
      <c r="F230" s="79">
        <v>504.01</v>
      </c>
    </row>
    <row r="231" spans="1:6">
      <c r="A231" s="57">
        <v>12</v>
      </c>
      <c r="B231" s="78">
        <v>2025</v>
      </c>
      <c r="C231" s="79" t="s">
        <v>44</v>
      </c>
      <c r="D231" s="79">
        <v>0</v>
      </c>
      <c r="E231" s="79">
        <v>504.01</v>
      </c>
      <c r="F231" s="79">
        <v>644.01</v>
      </c>
    </row>
    <row r="232" spans="1:6">
      <c r="A232" s="57">
        <v>1</v>
      </c>
      <c r="B232" s="78">
        <v>2024</v>
      </c>
      <c r="C232" s="79" t="s">
        <v>187</v>
      </c>
      <c r="D232" s="79">
        <v>0</v>
      </c>
      <c r="E232" s="79">
        <v>34</v>
      </c>
      <c r="F232" s="79">
        <v>34</v>
      </c>
    </row>
    <row r="233" spans="1:6">
      <c r="A233" s="57">
        <v>2</v>
      </c>
      <c r="B233" s="78">
        <v>2024</v>
      </c>
      <c r="C233" s="79" t="s">
        <v>187</v>
      </c>
      <c r="D233" s="79">
        <v>-534</v>
      </c>
      <c r="E233" s="79">
        <v>34</v>
      </c>
      <c r="F233" s="79">
        <v>0</v>
      </c>
    </row>
    <row r="234" spans="1:6">
      <c r="A234" s="57">
        <v>3</v>
      </c>
      <c r="B234" s="78">
        <v>2024</v>
      </c>
      <c r="C234" s="79" t="s">
        <v>187</v>
      </c>
      <c r="D234" s="79">
        <v>-500</v>
      </c>
      <c r="E234" s="79">
        <v>0</v>
      </c>
      <c r="F234" s="79">
        <v>0</v>
      </c>
    </row>
    <row r="235" spans="1:6">
      <c r="A235" s="57">
        <v>4</v>
      </c>
      <c r="B235" s="78">
        <v>2024</v>
      </c>
      <c r="C235" s="79" t="s">
        <v>187</v>
      </c>
      <c r="D235" s="79">
        <v>-452.16</v>
      </c>
      <c r="E235" s="79">
        <v>0</v>
      </c>
      <c r="F235" s="79">
        <v>47.840000000000032</v>
      </c>
    </row>
    <row r="236" spans="1:6">
      <c r="A236" s="57">
        <v>5</v>
      </c>
      <c r="B236" s="78">
        <v>2024</v>
      </c>
      <c r="C236" s="79" t="s">
        <v>187</v>
      </c>
      <c r="D236" s="79">
        <v>-547.84</v>
      </c>
      <c r="E236" s="79">
        <v>47.84</v>
      </c>
      <c r="F236" s="79">
        <v>0</v>
      </c>
    </row>
    <row r="237" spans="1:6">
      <c r="A237" s="57">
        <v>6</v>
      </c>
      <c r="B237" s="78">
        <v>2024</v>
      </c>
      <c r="C237" s="79" t="s">
        <v>187</v>
      </c>
      <c r="D237" s="79">
        <v>-450</v>
      </c>
      <c r="E237" s="79">
        <v>0</v>
      </c>
      <c r="F237" s="79">
        <v>50</v>
      </c>
    </row>
    <row r="238" spans="1:6">
      <c r="A238" s="57">
        <v>7</v>
      </c>
      <c r="B238" s="78">
        <v>2024</v>
      </c>
      <c r="C238" s="79" t="s">
        <v>187</v>
      </c>
      <c r="D238" s="79">
        <v>-450</v>
      </c>
      <c r="E238" s="79">
        <v>50</v>
      </c>
      <c r="F238" s="79">
        <v>100</v>
      </c>
    </row>
    <row r="239" spans="1:6">
      <c r="A239" s="57">
        <v>8</v>
      </c>
      <c r="B239" s="78">
        <v>2024</v>
      </c>
      <c r="C239" s="79" t="s">
        <v>187</v>
      </c>
      <c r="D239" s="79">
        <v>-150</v>
      </c>
      <c r="E239" s="79">
        <v>100</v>
      </c>
      <c r="F239" s="79">
        <v>100</v>
      </c>
    </row>
    <row r="240" spans="1:6">
      <c r="A240" s="57">
        <v>9</v>
      </c>
      <c r="B240" s="78">
        <v>2024</v>
      </c>
      <c r="C240" s="79" t="s">
        <v>187</v>
      </c>
      <c r="D240" s="79">
        <v>0</v>
      </c>
      <c r="E240" s="79">
        <v>100</v>
      </c>
      <c r="F240" s="79">
        <v>250</v>
      </c>
    </row>
    <row r="241" spans="1:6">
      <c r="A241" s="57">
        <v>1</v>
      </c>
      <c r="B241" s="78">
        <v>2024</v>
      </c>
      <c r="C241" s="79" t="s">
        <v>41</v>
      </c>
      <c r="D241" s="79">
        <v>0</v>
      </c>
      <c r="E241" s="79">
        <v>117.83</v>
      </c>
      <c r="F241" s="79">
        <v>117.83</v>
      </c>
    </row>
    <row r="242" spans="1:6">
      <c r="A242" s="57">
        <v>2</v>
      </c>
      <c r="B242" s="78">
        <v>2024</v>
      </c>
      <c r="C242" s="79" t="s">
        <v>41</v>
      </c>
      <c r="D242" s="79">
        <v>-35.96</v>
      </c>
      <c r="E242" s="79">
        <v>117.83</v>
      </c>
      <c r="F242" s="79">
        <v>81.88</v>
      </c>
    </row>
    <row r="243" spans="1:6">
      <c r="A243" s="57">
        <v>3</v>
      </c>
      <c r="B243" s="78">
        <v>2024</v>
      </c>
      <c r="C243" s="79" t="s">
        <v>41</v>
      </c>
      <c r="D243" s="79">
        <v>0</v>
      </c>
      <c r="E243" s="79">
        <v>81.88</v>
      </c>
      <c r="F243" s="79">
        <v>131.88</v>
      </c>
    </row>
    <row r="244" spans="1:6">
      <c r="A244" s="57">
        <v>4</v>
      </c>
      <c r="B244" s="78">
        <v>2024</v>
      </c>
      <c r="C244" s="79" t="s">
        <v>41</v>
      </c>
      <c r="D244" s="79">
        <v>-62.77</v>
      </c>
      <c r="E244" s="79">
        <v>131.88</v>
      </c>
      <c r="F244" s="79">
        <v>119.11</v>
      </c>
    </row>
    <row r="245" spans="1:6">
      <c r="A245" s="57">
        <v>5</v>
      </c>
      <c r="B245" s="78">
        <v>2024</v>
      </c>
      <c r="C245" s="79" t="s">
        <v>41</v>
      </c>
      <c r="D245" s="79">
        <v>-50</v>
      </c>
      <c r="E245" s="79">
        <v>119.11</v>
      </c>
      <c r="F245" s="79">
        <v>119.11</v>
      </c>
    </row>
    <row r="246" spans="1:6">
      <c r="A246" s="57">
        <v>6</v>
      </c>
      <c r="B246" s="78">
        <v>2024</v>
      </c>
      <c r="C246" s="79" t="s">
        <v>41</v>
      </c>
      <c r="D246" s="79">
        <v>0</v>
      </c>
      <c r="E246" s="79">
        <v>119.11</v>
      </c>
      <c r="F246" s="79">
        <v>169.11</v>
      </c>
    </row>
    <row r="247" spans="1:6">
      <c r="A247" s="57">
        <v>7</v>
      </c>
      <c r="B247" s="78">
        <v>2024</v>
      </c>
      <c r="C247" s="79" t="s">
        <v>41</v>
      </c>
      <c r="D247" s="79">
        <v>-167.61</v>
      </c>
      <c r="E247" s="79">
        <v>169.11</v>
      </c>
      <c r="F247" s="79">
        <v>51.5</v>
      </c>
    </row>
    <row r="248" spans="1:6">
      <c r="A248" s="57">
        <v>8</v>
      </c>
      <c r="B248" s="78">
        <v>2024</v>
      </c>
      <c r="C248" s="79" t="s">
        <v>41</v>
      </c>
      <c r="D248" s="79">
        <v>-102.67</v>
      </c>
      <c r="E248" s="79">
        <v>51.5</v>
      </c>
      <c r="F248" s="79">
        <v>-1.1700000000000017</v>
      </c>
    </row>
    <row r="249" spans="1:6">
      <c r="A249" s="57">
        <v>9</v>
      </c>
      <c r="B249" s="78">
        <v>2024</v>
      </c>
      <c r="C249" s="79" t="s">
        <v>41</v>
      </c>
      <c r="D249" s="79">
        <v>0</v>
      </c>
      <c r="E249" s="79">
        <v>-1.17</v>
      </c>
      <c r="F249" s="79">
        <v>48.83</v>
      </c>
    </row>
    <row r="250" spans="1:6">
      <c r="A250" s="57">
        <v>10</v>
      </c>
      <c r="B250" s="78">
        <v>2024</v>
      </c>
      <c r="C250" s="79" t="s">
        <v>41</v>
      </c>
      <c r="D250" s="79">
        <v>0</v>
      </c>
      <c r="E250" s="79">
        <v>48.83</v>
      </c>
      <c r="F250" s="79">
        <v>98.83</v>
      </c>
    </row>
    <row r="251" spans="1:6">
      <c r="A251" s="57">
        <v>11</v>
      </c>
      <c r="B251" s="78">
        <v>2024</v>
      </c>
      <c r="C251" s="79" t="s">
        <v>41</v>
      </c>
      <c r="D251" s="79">
        <v>-133.80000000000001</v>
      </c>
      <c r="E251" s="79">
        <v>98.83</v>
      </c>
      <c r="F251" s="79">
        <v>15.029999999999973</v>
      </c>
    </row>
    <row r="252" spans="1:6">
      <c r="A252" s="57">
        <v>12</v>
      </c>
      <c r="B252" s="78">
        <v>2024</v>
      </c>
      <c r="C252" s="79" t="s">
        <v>41</v>
      </c>
      <c r="D252" s="79">
        <v>-34.53</v>
      </c>
      <c r="E252" s="79">
        <v>15.03</v>
      </c>
      <c r="F252" s="79">
        <v>30.5</v>
      </c>
    </row>
    <row r="253" spans="1:6">
      <c r="A253" s="57">
        <v>1</v>
      </c>
      <c r="B253" s="78">
        <v>2025</v>
      </c>
      <c r="C253" s="79" t="s">
        <v>41</v>
      </c>
      <c r="D253" s="79">
        <v>-5.0599999999999996</v>
      </c>
      <c r="E253" s="79">
        <v>30.5</v>
      </c>
      <c r="F253" s="79">
        <v>75.44</v>
      </c>
    </row>
    <row r="254" spans="1:6">
      <c r="A254" s="57">
        <v>2</v>
      </c>
      <c r="B254" s="78">
        <v>2025</v>
      </c>
      <c r="C254" s="79" t="s">
        <v>41</v>
      </c>
      <c r="D254" s="79">
        <v>-107.26</v>
      </c>
      <c r="E254" s="79">
        <v>75.44</v>
      </c>
      <c r="F254" s="79">
        <v>18.179999999999993</v>
      </c>
    </row>
    <row r="255" spans="1:6">
      <c r="A255" s="57">
        <v>3</v>
      </c>
      <c r="B255" s="78">
        <v>2025</v>
      </c>
      <c r="C255" s="79" t="s">
        <v>41</v>
      </c>
      <c r="D255" s="79">
        <v>-128.05000000000001</v>
      </c>
      <c r="E255" s="79">
        <v>18.18</v>
      </c>
      <c r="F255" s="79">
        <v>-59.870000000000005</v>
      </c>
    </row>
    <row r="256" spans="1:6">
      <c r="A256" s="57">
        <v>4</v>
      </c>
      <c r="B256" s="78">
        <v>2025</v>
      </c>
      <c r="C256" s="79" t="s">
        <v>41</v>
      </c>
      <c r="D256" s="79">
        <v>0</v>
      </c>
      <c r="E256" s="79">
        <v>-59.87</v>
      </c>
      <c r="F256" s="79">
        <v>-9.8699999999999957</v>
      </c>
    </row>
    <row r="257" spans="1:6">
      <c r="A257" s="57">
        <v>5</v>
      </c>
      <c r="B257" s="78">
        <v>2025</v>
      </c>
      <c r="C257" s="79" t="s">
        <v>41</v>
      </c>
      <c r="D257" s="79">
        <v>0</v>
      </c>
      <c r="E257" s="79">
        <v>-9.8699999999999992</v>
      </c>
      <c r="F257" s="79">
        <v>40.130000000000003</v>
      </c>
    </row>
    <row r="258" spans="1:6">
      <c r="A258" s="57">
        <v>6</v>
      </c>
      <c r="B258" s="78">
        <v>2025</v>
      </c>
      <c r="C258" s="79" t="s">
        <v>41</v>
      </c>
      <c r="D258" s="79">
        <v>-101.65</v>
      </c>
      <c r="E258" s="79">
        <v>40.130000000000003</v>
      </c>
      <c r="F258" s="79">
        <v>-11.52000000000001</v>
      </c>
    </row>
    <row r="259" spans="1:6">
      <c r="A259" s="57">
        <v>7</v>
      </c>
      <c r="B259" s="78">
        <v>2025</v>
      </c>
      <c r="C259" s="79" t="s">
        <v>41</v>
      </c>
      <c r="D259" s="79">
        <v>-90.94</v>
      </c>
      <c r="E259" s="79">
        <v>-11.52</v>
      </c>
      <c r="F259" s="79">
        <v>-52.459999999999994</v>
      </c>
    </row>
    <row r="260" spans="1:6">
      <c r="A260" s="57">
        <v>8</v>
      </c>
      <c r="B260" s="78">
        <v>2025</v>
      </c>
      <c r="C260" s="79" t="s">
        <v>41</v>
      </c>
      <c r="D260" s="79">
        <v>0</v>
      </c>
      <c r="E260" s="79">
        <v>-52.46</v>
      </c>
      <c r="F260" s="79">
        <v>-2.4600000000000009</v>
      </c>
    </row>
    <row r="261" spans="1:6">
      <c r="A261" s="57">
        <v>9</v>
      </c>
      <c r="B261" s="78">
        <v>2025</v>
      </c>
      <c r="C261" s="79" t="s">
        <v>41</v>
      </c>
      <c r="D261" s="79">
        <v>-66.11</v>
      </c>
      <c r="E261" s="79">
        <v>-2.46</v>
      </c>
      <c r="F261" s="79">
        <v>-18.57</v>
      </c>
    </row>
    <row r="262" spans="1:6">
      <c r="A262" s="57">
        <v>10</v>
      </c>
      <c r="B262" s="78">
        <v>2025</v>
      </c>
      <c r="C262" s="79" t="s">
        <v>41</v>
      </c>
      <c r="D262" s="79">
        <v>0</v>
      </c>
      <c r="E262" s="79">
        <v>-18.57</v>
      </c>
      <c r="F262" s="79">
        <v>31.43</v>
      </c>
    </row>
    <row r="263" spans="1:6">
      <c r="A263" s="57">
        <v>11</v>
      </c>
      <c r="B263" s="78">
        <v>2025</v>
      </c>
      <c r="C263" s="79" t="s">
        <v>41</v>
      </c>
      <c r="D263" s="79">
        <v>-139.45999999999998</v>
      </c>
      <c r="E263" s="79">
        <v>31.43</v>
      </c>
      <c r="F263" s="79">
        <v>-58.029999999999973</v>
      </c>
    </row>
    <row r="264" spans="1:6">
      <c r="A264" s="57">
        <v>12</v>
      </c>
      <c r="B264" s="78">
        <v>2025</v>
      </c>
      <c r="C264" s="79" t="s">
        <v>41</v>
      </c>
      <c r="D264" s="79">
        <v>0</v>
      </c>
      <c r="E264" s="79">
        <v>-58.03</v>
      </c>
      <c r="F264" s="79">
        <v>-8.0300000000000011</v>
      </c>
    </row>
    <row r="265" spans="1:6">
      <c r="A265" s="107">
        <v>11</v>
      </c>
      <c r="B265" s="78">
        <v>2024</v>
      </c>
      <c r="C265" s="79" t="s">
        <v>37</v>
      </c>
      <c r="D265" s="79">
        <v>0</v>
      </c>
      <c r="E265" s="79">
        <v>0</v>
      </c>
      <c r="F265" s="79">
        <v>0</v>
      </c>
    </row>
    <row r="266" spans="1:6">
      <c r="A266" s="57">
        <v>10</v>
      </c>
      <c r="B266" s="78">
        <v>2024</v>
      </c>
      <c r="C266" s="79" t="s">
        <v>37</v>
      </c>
      <c r="D266" s="79">
        <v>0</v>
      </c>
      <c r="E266" s="79"/>
      <c r="F266" s="79"/>
    </row>
    <row r="267" spans="1:6">
      <c r="A267" s="57">
        <v>12</v>
      </c>
      <c r="B267" s="78">
        <v>2024</v>
      </c>
      <c r="C267" s="79" t="s">
        <v>37</v>
      </c>
      <c r="D267" s="79">
        <v>-590.41999999999996</v>
      </c>
      <c r="E267" s="79">
        <v>0</v>
      </c>
      <c r="F267" s="79">
        <v>-440.42</v>
      </c>
    </row>
    <row r="268" spans="1:6">
      <c r="A268" s="57">
        <v>1</v>
      </c>
      <c r="B268" s="78">
        <v>2025</v>
      </c>
      <c r="C268" s="79" t="s">
        <v>37</v>
      </c>
      <c r="D268" s="79">
        <v>0</v>
      </c>
      <c r="E268" s="79">
        <v>-440.42</v>
      </c>
      <c r="F268" s="79">
        <v>-290.42</v>
      </c>
    </row>
    <row r="269" spans="1:6">
      <c r="A269" s="57">
        <v>2</v>
      </c>
      <c r="B269" s="78">
        <v>2025</v>
      </c>
      <c r="C269" s="79" t="s">
        <v>37</v>
      </c>
      <c r="D269" s="79">
        <v>0</v>
      </c>
      <c r="E269" s="79">
        <v>-290.42</v>
      </c>
      <c r="F269" s="79">
        <v>-140.42000000000002</v>
      </c>
    </row>
    <row r="270" spans="1:6">
      <c r="A270" s="57">
        <v>3</v>
      </c>
      <c r="B270" s="78">
        <v>2025</v>
      </c>
      <c r="C270" s="79" t="s">
        <v>37</v>
      </c>
      <c r="D270" s="79">
        <v>0</v>
      </c>
      <c r="E270" s="79">
        <v>-140.41999999999999</v>
      </c>
      <c r="F270" s="79">
        <v>9.5800000000000125</v>
      </c>
    </row>
    <row r="271" spans="1:6">
      <c r="A271" s="57">
        <v>4</v>
      </c>
      <c r="B271" s="78">
        <v>2025</v>
      </c>
      <c r="C271" s="79" t="s">
        <v>37</v>
      </c>
      <c r="D271" s="79">
        <v>-208.22</v>
      </c>
      <c r="E271" s="79">
        <v>9.5800000000000107</v>
      </c>
      <c r="F271" s="79">
        <v>-48.639999999999986</v>
      </c>
    </row>
    <row r="272" spans="1:6">
      <c r="A272" s="57">
        <v>5</v>
      </c>
      <c r="B272" s="78">
        <v>2025</v>
      </c>
      <c r="C272" s="79" t="s">
        <v>37</v>
      </c>
      <c r="D272" s="79">
        <v>0</v>
      </c>
      <c r="E272" s="79">
        <v>-48.64</v>
      </c>
      <c r="F272" s="79">
        <v>101.36</v>
      </c>
    </row>
    <row r="273" spans="1:6">
      <c r="A273" s="57">
        <v>6</v>
      </c>
      <c r="B273" s="78">
        <v>2025</v>
      </c>
      <c r="C273" s="79" t="s">
        <v>37</v>
      </c>
      <c r="D273" s="79">
        <v>0</v>
      </c>
      <c r="E273" s="79">
        <v>101.36</v>
      </c>
      <c r="F273" s="79">
        <v>251.36</v>
      </c>
    </row>
    <row r="274" spans="1:6">
      <c r="A274" s="57">
        <v>7</v>
      </c>
      <c r="B274" s="78">
        <v>2025</v>
      </c>
      <c r="C274" s="79" t="s">
        <v>37</v>
      </c>
      <c r="D274" s="79">
        <v>-82.18</v>
      </c>
      <c r="E274" s="79">
        <v>251.36</v>
      </c>
      <c r="F274" s="79">
        <v>319.18</v>
      </c>
    </row>
    <row r="275" spans="1:6">
      <c r="A275" s="57">
        <v>8</v>
      </c>
      <c r="B275" s="78">
        <v>2025</v>
      </c>
      <c r="C275" s="79" t="s">
        <v>37</v>
      </c>
      <c r="D275" s="79">
        <v>0</v>
      </c>
      <c r="E275" s="79">
        <v>319.18</v>
      </c>
      <c r="F275" s="79">
        <v>469.18</v>
      </c>
    </row>
    <row r="276" spans="1:6">
      <c r="A276" s="57">
        <v>9</v>
      </c>
      <c r="B276" s="78">
        <v>2025</v>
      </c>
      <c r="C276" s="79" t="s">
        <v>37</v>
      </c>
      <c r="D276" s="79">
        <v>0</v>
      </c>
      <c r="E276" s="79">
        <v>469.18</v>
      </c>
      <c r="F276" s="79">
        <v>619.18000000000006</v>
      </c>
    </row>
    <row r="277" spans="1:6">
      <c r="A277" s="57">
        <v>10</v>
      </c>
      <c r="B277" s="78">
        <v>2025</v>
      </c>
      <c r="C277" s="79" t="s">
        <v>37</v>
      </c>
      <c r="D277" s="79">
        <v>0</v>
      </c>
      <c r="E277" s="79">
        <v>619.17999999999995</v>
      </c>
      <c r="F277" s="79">
        <v>769.18</v>
      </c>
    </row>
    <row r="278" spans="1:6">
      <c r="A278" s="57">
        <v>11</v>
      </c>
      <c r="B278" s="78">
        <v>2025</v>
      </c>
      <c r="C278" s="79" t="s">
        <v>37</v>
      </c>
      <c r="D278" s="79">
        <v>0</v>
      </c>
      <c r="E278" s="79">
        <v>769.18</v>
      </c>
      <c r="F278" s="79">
        <v>919.18</v>
      </c>
    </row>
    <row r="279" spans="1:6">
      <c r="A279" s="57">
        <v>12</v>
      </c>
      <c r="B279" s="78">
        <v>2025</v>
      </c>
      <c r="C279" s="79" t="s">
        <v>37</v>
      </c>
      <c r="D279" s="79">
        <v>0</v>
      </c>
      <c r="E279" s="79">
        <v>919.18</v>
      </c>
      <c r="F279" s="79">
        <v>1069.1799999999998</v>
      </c>
    </row>
    <row r="280" spans="1:6">
      <c r="A280" s="57">
        <v>1</v>
      </c>
      <c r="B280" s="78">
        <v>2024</v>
      </c>
      <c r="C280" s="79" t="s">
        <v>59</v>
      </c>
      <c r="D280" s="79">
        <v>0</v>
      </c>
      <c r="E280" s="79">
        <v>234.8</v>
      </c>
      <c r="F280" s="79">
        <v>234.8</v>
      </c>
    </row>
    <row r="281" spans="1:6">
      <c r="A281" s="57">
        <v>2</v>
      </c>
      <c r="B281" s="78">
        <v>2024</v>
      </c>
      <c r="C281" s="79" t="s">
        <v>59</v>
      </c>
      <c r="D281" s="79">
        <v>-200.73</v>
      </c>
      <c r="E281" s="79">
        <v>234.8</v>
      </c>
      <c r="F281" s="79">
        <v>34.079999999999984</v>
      </c>
    </row>
    <row r="282" spans="1:6">
      <c r="A282" s="57">
        <v>3</v>
      </c>
      <c r="B282" s="78">
        <v>2024</v>
      </c>
      <c r="C282" s="79" t="s">
        <v>59</v>
      </c>
      <c r="D282" s="79">
        <v>-119.04</v>
      </c>
      <c r="E282" s="79">
        <v>34.08</v>
      </c>
      <c r="F282" s="79">
        <v>65.039999999999992</v>
      </c>
    </row>
    <row r="283" spans="1:6">
      <c r="A283" s="57">
        <v>4</v>
      </c>
      <c r="B283" s="78">
        <v>2024</v>
      </c>
      <c r="C283" s="79" t="s">
        <v>59</v>
      </c>
      <c r="D283" s="79">
        <v>-3.38</v>
      </c>
      <c r="E283" s="79">
        <v>65.040000000000006</v>
      </c>
      <c r="F283" s="79">
        <v>211.66000000000005</v>
      </c>
    </row>
    <row r="284" spans="1:6">
      <c r="A284" s="57">
        <v>5</v>
      </c>
      <c r="B284" s="78">
        <v>2024</v>
      </c>
      <c r="C284" s="79" t="s">
        <v>59</v>
      </c>
      <c r="D284" s="79">
        <v>-519.43000000000006</v>
      </c>
      <c r="E284" s="79">
        <v>211.66</v>
      </c>
      <c r="F284" s="79">
        <v>-157.7700000000001</v>
      </c>
    </row>
    <row r="285" spans="1:6">
      <c r="A285" s="57">
        <v>6</v>
      </c>
      <c r="B285" s="78">
        <v>2024</v>
      </c>
      <c r="C285" s="79" t="s">
        <v>59</v>
      </c>
      <c r="D285" s="79">
        <v>-1650.48</v>
      </c>
      <c r="E285" s="79">
        <v>-157.77000000000001</v>
      </c>
      <c r="F285" s="79">
        <v>-1658.25</v>
      </c>
    </row>
    <row r="286" spans="1:6">
      <c r="A286" s="57">
        <v>7</v>
      </c>
      <c r="B286" s="78">
        <v>2024</v>
      </c>
      <c r="C286" s="79" t="s">
        <v>59</v>
      </c>
      <c r="D286" s="79">
        <v>1438.48</v>
      </c>
      <c r="E286" s="79">
        <v>-1658.25</v>
      </c>
      <c r="F286" s="79">
        <v>-69.769999999999982</v>
      </c>
    </row>
    <row r="287" spans="1:6">
      <c r="A287" s="57">
        <v>8</v>
      </c>
      <c r="B287" s="78">
        <v>2024</v>
      </c>
      <c r="C287" s="79" t="s">
        <v>59</v>
      </c>
      <c r="D287" s="79">
        <v>-77.710000000000008</v>
      </c>
      <c r="E287" s="79">
        <v>-69.77</v>
      </c>
      <c r="F287" s="79">
        <v>2.519999999999996</v>
      </c>
    </row>
    <row r="288" spans="1:6">
      <c r="A288" s="57">
        <v>9</v>
      </c>
      <c r="B288" s="78">
        <v>2024</v>
      </c>
      <c r="C288" s="79" t="s">
        <v>59</v>
      </c>
      <c r="D288" s="79">
        <v>-142.24</v>
      </c>
      <c r="E288" s="79">
        <v>2.52</v>
      </c>
      <c r="F288" s="79">
        <v>10.28</v>
      </c>
    </row>
    <row r="289" spans="1:6">
      <c r="A289" s="57">
        <v>10</v>
      </c>
      <c r="B289" s="78">
        <v>2024</v>
      </c>
      <c r="C289" s="79" t="s">
        <v>59</v>
      </c>
      <c r="D289" s="79">
        <v>-195.42</v>
      </c>
      <c r="E289" s="79">
        <v>10.28</v>
      </c>
      <c r="F289" s="79">
        <v>-35.140000000000015</v>
      </c>
    </row>
    <row r="290" spans="1:6">
      <c r="A290" s="57">
        <v>11</v>
      </c>
      <c r="B290" s="78">
        <v>2024</v>
      </c>
      <c r="C290" s="79" t="s">
        <v>59</v>
      </c>
      <c r="D290" s="79">
        <v>-201.11</v>
      </c>
      <c r="E290" s="79">
        <v>-35.14</v>
      </c>
      <c r="F290" s="79">
        <v>-86.250000000000014</v>
      </c>
    </row>
    <row r="291" spans="1:6">
      <c r="A291" s="57">
        <v>12</v>
      </c>
      <c r="B291" s="78">
        <v>2024</v>
      </c>
      <c r="C291" s="79" t="s">
        <v>59</v>
      </c>
      <c r="D291" s="79">
        <v>-242.92</v>
      </c>
      <c r="E291" s="79">
        <v>-86.25</v>
      </c>
      <c r="F291" s="79">
        <v>-179.17</v>
      </c>
    </row>
    <row r="292" spans="1:6">
      <c r="A292" s="57">
        <v>1</v>
      </c>
      <c r="B292" s="78">
        <v>2025</v>
      </c>
      <c r="C292" s="79" t="s">
        <v>59</v>
      </c>
      <c r="D292" s="79">
        <v>-55</v>
      </c>
      <c r="E292" s="79">
        <v>-179.17</v>
      </c>
      <c r="F292" s="79">
        <v>-84.169999999999987</v>
      </c>
    </row>
    <row r="293" spans="1:6">
      <c r="A293" s="57">
        <v>2</v>
      </c>
      <c r="B293" s="78">
        <v>2025</v>
      </c>
      <c r="C293" s="79" t="s">
        <v>59</v>
      </c>
      <c r="D293" s="79">
        <v>-16.66</v>
      </c>
      <c r="E293" s="79">
        <v>-84.17</v>
      </c>
      <c r="F293" s="79">
        <v>49.17</v>
      </c>
    </row>
    <row r="294" spans="1:6">
      <c r="A294" s="57">
        <v>3</v>
      </c>
      <c r="B294" s="78">
        <v>2025</v>
      </c>
      <c r="C294" s="79" t="s">
        <v>59</v>
      </c>
      <c r="D294" s="79">
        <v>0</v>
      </c>
      <c r="E294" s="79">
        <v>49.17</v>
      </c>
      <c r="F294" s="79">
        <v>199.17</v>
      </c>
    </row>
    <row r="295" spans="1:6">
      <c r="A295" s="57">
        <v>4</v>
      </c>
      <c r="B295" s="78">
        <v>2025</v>
      </c>
      <c r="C295" s="79" t="s">
        <v>59</v>
      </c>
      <c r="D295" s="79">
        <v>-183.11</v>
      </c>
      <c r="E295" s="79">
        <v>199.17</v>
      </c>
      <c r="F295" s="79">
        <v>166.05999999999997</v>
      </c>
    </row>
    <row r="296" spans="1:6">
      <c r="A296" s="57">
        <v>5</v>
      </c>
      <c r="B296" s="78">
        <v>2025</v>
      </c>
      <c r="C296" s="79" t="s">
        <v>59</v>
      </c>
      <c r="D296" s="79">
        <v>-395.29</v>
      </c>
      <c r="E296" s="79">
        <v>166.06</v>
      </c>
      <c r="F296" s="79">
        <v>-79.230000000000018</v>
      </c>
    </row>
    <row r="297" spans="1:6">
      <c r="A297" s="57">
        <v>6</v>
      </c>
      <c r="B297" s="78">
        <v>2025</v>
      </c>
      <c r="C297" s="79" t="s">
        <v>59</v>
      </c>
      <c r="D297" s="79">
        <v>-87.85</v>
      </c>
      <c r="E297" s="79">
        <v>-79.23</v>
      </c>
      <c r="F297" s="79">
        <v>-17.079999999999998</v>
      </c>
    </row>
    <row r="298" spans="1:6">
      <c r="A298" s="57">
        <v>7</v>
      </c>
      <c r="B298" s="78">
        <v>2025</v>
      </c>
      <c r="C298" s="79" t="s">
        <v>59</v>
      </c>
      <c r="D298" s="79">
        <v>-130.44999999999999</v>
      </c>
      <c r="E298" s="79">
        <v>-17.079999999999998</v>
      </c>
      <c r="F298" s="79">
        <v>2.4700000000000273</v>
      </c>
    </row>
    <row r="299" spans="1:6">
      <c r="A299" s="57">
        <v>8</v>
      </c>
      <c r="B299" s="78">
        <v>2025</v>
      </c>
      <c r="C299" s="79" t="s">
        <v>59</v>
      </c>
      <c r="D299" s="79">
        <v>0</v>
      </c>
      <c r="E299" s="79">
        <v>2.4700000000000299</v>
      </c>
      <c r="F299" s="79">
        <v>152.47000000000003</v>
      </c>
    </row>
    <row r="300" spans="1:6">
      <c r="A300" s="57">
        <v>9</v>
      </c>
      <c r="B300" s="78">
        <v>2025</v>
      </c>
      <c r="C300" s="79" t="s">
        <v>59</v>
      </c>
      <c r="D300" s="79">
        <v>-317.36999999999995</v>
      </c>
      <c r="E300" s="79">
        <v>152.47</v>
      </c>
      <c r="F300" s="79">
        <v>-14.89999999999992</v>
      </c>
    </row>
    <row r="301" spans="1:6">
      <c r="A301" s="57">
        <v>10</v>
      </c>
      <c r="B301" s="78">
        <v>2025</v>
      </c>
      <c r="C301" s="79" t="s">
        <v>59</v>
      </c>
      <c r="D301" s="79">
        <v>-74.86</v>
      </c>
      <c r="E301" s="79">
        <v>-14.899999999999901</v>
      </c>
      <c r="F301" s="79">
        <v>60.240000000000109</v>
      </c>
    </row>
    <row r="302" spans="1:6">
      <c r="A302" s="57">
        <v>11</v>
      </c>
      <c r="B302" s="78">
        <v>2025</v>
      </c>
      <c r="C302" s="79" t="s">
        <v>59</v>
      </c>
      <c r="D302" s="79">
        <v>-152.81000000000003</v>
      </c>
      <c r="E302" s="79">
        <v>60.240000000000101</v>
      </c>
      <c r="F302" s="79">
        <v>57.430000000000064</v>
      </c>
    </row>
    <row r="303" spans="1:6">
      <c r="A303" s="57">
        <v>12</v>
      </c>
      <c r="B303" s="78">
        <v>2025</v>
      </c>
      <c r="C303" s="79" t="s">
        <v>59</v>
      </c>
      <c r="D303" s="79">
        <v>0</v>
      </c>
      <c r="E303" s="79">
        <v>57.430000000000099</v>
      </c>
      <c r="F303" s="79">
        <v>207.43000000000009</v>
      </c>
    </row>
    <row r="304" spans="1:6">
      <c r="A304" s="57">
        <v>1</v>
      </c>
      <c r="B304" s="78">
        <v>2024</v>
      </c>
      <c r="C304" s="79" t="s">
        <v>72</v>
      </c>
      <c r="D304" s="79">
        <v>0</v>
      </c>
      <c r="E304" s="79"/>
      <c r="F304" s="79"/>
    </row>
    <row r="305" spans="1:6">
      <c r="A305" s="57">
        <v>1</v>
      </c>
      <c r="B305" s="78">
        <v>2024</v>
      </c>
      <c r="C305" s="79" t="s">
        <v>54</v>
      </c>
      <c r="D305" s="79">
        <v>0</v>
      </c>
      <c r="E305" s="79">
        <v>46</v>
      </c>
      <c r="F305" s="79">
        <v>46</v>
      </c>
    </row>
    <row r="306" spans="1:6">
      <c r="A306" s="57">
        <v>2</v>
      </c>
      <c r="B306" s="78">
        <v>2024</v>
      </c>
      <c r="C306" s="79" t="s">
        <v>54</v>
      </c>
      <c r="D306" s="79">
        <v>-79.069999999999993</v>
      </c>
      <c r="E306" s="79">
        <v>46</v>
      </c>
      <c r="F306" s="79">
        <v>16.930000000000007</v>
      </c>
    </row>
    <row r="307" spans="1:6">
      <c r="A307" s="57">
        <v>3</v>
      </c>
      <c r="B307" s="78">
        <v>2024</v>
      </c>
      <c r="C307" s="79" t="s">
        <v>54</v>
      </c>
      <c r="D307" s="79">
        <v>-54.64</v>
      </c>
      <c r="E307" s="79">
        <v>16.93</v>
      </c>
      <c r="F307" s="79">
        <v>12.290000000000006</v>
      </c>
    </row>
    <row r="308" spans="1:6">
      <c r="A308" s="57">
        <v>4</v>
      </c>
      <c r="B308" s="78">
        <v>2024</v>
      </c>
      <c r="C308" s="79" t="s">
        <v>54</v>
      </c>
      <c r="D308" s="79">
        <v>-112.15</v>
      </c>
      <c r="E308" s="79">
        <v>12.29</v>
      </c>
      <c r="F308" s="79">
        <v>-49.859999999999992</v>
      </c>
    </row>
    <row r="309" spans="1:6">
      <c r="A309" s="57">
        <v>5</v>
      </c>
      <c r="B309" s="78">
        <v>2024</v>
      </c>
      <c r="C309" s="79" t="s">
        <v>54</v>
      </c>
      <c r="D309" s="79">
        <v>-25.66</v>
      </c>
      <c r="E309" s="79">
        <v>-49.86</v>
      </c>
      <c r="F309" s="79">
        <v>-25.52</v>
      </c>
    </row>
    <row r="310" spans="1:6">
      <c r="A310" s="57">
        <v>6</v>
      </c>
      <c r="B310" s="78">
        <v>2024</v>
      </c>
      <c r="C310" s="79" t="s">
        <v>54</v>
      </c>
      <c r="D310" s="79">
        <v>-38.090000000000003</v>
      </c>
      <c r="E310" s="79">
        <v>-25.52</v>
      </c>
      <c r="F310" s="79">
        <v>-13.610000000000005</v>
      </c>
    </row>
    <row r="311" spans="1:6">
      <c r="A311" s="57">
        <v>7</v>
      </c>
      <c r="B311" s="78">
        <v>2024</v>
      </c>
      <c r="C311" s="79" t="s">
        <v>54</v>
      </c>
      <c r="D311" s="79">
        <v>-43.899999999999991</v>
      </c>
      <c r="E311" s="79">
        <v>-13.61</v>
      </c>
      <c r="F311" s="79">
        <v>-7.5099999999999909</v>
      </c>
    </row>
    <row r="312" spans="1:6">
      <c r="A312" s="57">
        <v>8</v>
      </c>
      <c r="B312" s="78">
        <v>2024</v>
      </c>
      <c r="C312" s="79" t="s">
        <v>54</v>
      </c>
      <c r="D312" s="79">
        <v>-26.67</v>
      </c>
      <c r="E312" s="79">
        <v>-7.50999999999999</v>
      </c>
      <c r="F312" s="79">
        <v>15.820000000000013</v>
      </c>
    </row>
    <row r="313" spans="1:6">
      <c r="A313" s="57">
        <v>9</v>
      </c>
      <c r="B313" s="78">
        <v>2024</v>
      </c>
      <c r="C313" s="79" t="s">
        <v>54</v>
      </c>
      <c r="D313" s="79">
        <v>-81.650000000000006</v>
      </c>
      <c r="E313" s="79">
        <v>15.82</v>
      </c>
      <c r="F313" s="79">
        <v>-15.830000000000013</v>
      </c>
    </row>
    <row r="314" spans="1:6">
      <c r="A314" s="57">
        <v>10</v>
      </c>
      <c r="B314" s="78">
        <v>2024</v>
      </c>
      <c r="C314" s="79" t="s">
        <v>54</v>
      </c>
      <c r="D314" s="79">
        <v>-59.370000000000005</v>
      </c>
      <c r="E314" s="79">
        <v>-15.83</v>
      </c>
      <c r="F314" s="79">
        <v>-25.200000000000003</v>
      </c>
    </row>
    <row r="315" spans="1:6">
      <c r="A315" s="57">
        <v>11</v>
      </c>
      <c r="B315" s="78">
        <v>2024</v>
      </c>
      <c r="C315" s="79" t="s">
        <v>54</v>
      </c>
      <c r="D315" s="79">
        <v>-2.09</v>
      </c>
      <c r="E315" s="79">
        <v>-25.2</v>
      </c>
      <c r="F315" s="79">
        <v>22.71</v>
      </c>
    </row>
    <row r="316" spans="1:6">
      <c r="A316" s="57">
        <v>12</v>
      </c>
      <c r="B316" s="78">
        <v>2024</v>
      </c>
      <c r="C316" s="79" t="s">
        <v>54</v>
      </c>
      <c r="D316" s="79">
        <v>-41.42</v>
      </c>
      <c r="E316" s="79">
        <v>22.71</v>
      </c>
      <c r="F316" s="79">
        <v>31.290000000000006</v>
      </c>
    </row>
    <row r="317" spans="1:6">
      <c r="A317" s="57">
        <v>1</v>
      </c>
      <c r="B317" s="78">
        <v>2025</v>
      </c>
      <c r="C317" s="79" t="s">
        <v>54</v>
      </c>
      <c r="D317" s="79">
        <v>-30.94</v>
      </c>
      <c r="E317" s="79">
        <v>31.29</v>
      </c>
      <c r="F317" s="79">
        <v>50.349999999999994</v>
      </c>
    </row>
    <row r="318" spans="1:6">
      <c r="A318" s="57">
        <v>2</v>
      </c>
      <c r="B318" s="78">
        <v>2025</v>
      </c>
      <c r="C318" s="79" t="s">
        <v>54</v>
      </c>
      <c r="D318" s="79">
        <v>-90.76</v>
      </c>
      <c r="E318" s="79">
        <v>50.35</v>
      </c>
      <c r="F318" s="79">
        <v>9.5900000000000034</v>
      </c>
    </row>
    <row r="319" spans="1:6">
      <c r="A319" s="57">
        <v>3</v>
      </c>
      <c r="B319" s="78">
        <v>2025</v>
      </c>
      <c r="C319" s="79" t="s">
        <v>54</v>
      </c>
      <c r="D319" s="79">
        <v>-43.71</v>
      </c>
      <c r="E319" s="79">
        <v>9.59</v>
      </c>
      <c r="F319" s="79">
        <v>15.880000000000004</v>
      </c>
    </row>
    <row r="320" spans="1:6">
      <c r="A320" s="57">
        <v>4</v>
      </c>
      <c r="B320" s="78">
        <v>2025</v>
      </c>
      <c r="C320" s="79" t="s">
        <v>54</v>
      </c>
      <c r="D320" s="79">
        <v>-64</v>
      </c>
      <c r="E320" s="79">
        <v>15.88</v>
      </c>
      <c r="F320" s="79">
        <v>1.8799999999999957</v>
      </c>
    </row>
    <row r="321" spans="1:6">
      <c r="A321" s="57">
        <v>5</v>
      </c>
      <c r="B321" s="78">
        <v>2025</v>
      </c>
      <c r="C321" s="79" t="s">
        <v>54</v>
      </c>
      <c r="D321" s="79">
        <v>-54.41</v>
      </c>
      <c r="E321" s="79">
        <v>1.88</v>
      </c>
      <c r="F321" s="79">
        <v>-2.529999999999994</v>
      </c>
    </row>
    <row r="322" spans="1:6">
      <c r="A322" s="57">
        <v>6</v>
      </c>
      <c r="B322" s="78">
        <v>2025</v>
      </c>
      <c r="C322" s="79" t="s">
        <v>54</v>
      </c>
      <c r="D322" s="79">
        <v>-102.46</v>
      </c>
      <c r="E322" s="79">
        <v>-2.52999999999999</v>
      </c>
      <c r="F322" s="79">
        <v>-54.989999999999995</v>
      </c>
    </row>
    <row r="323" spans="1:6">
      <c r="A323" s="57">
        <v>7</v>
      </c>
      <c r="B323" s="78">
        <v>2025</v>
      </c>
      <c r="C323" s="79" t="s">
        <v>54</v>
      </c>
      <c r="D323" s="79">
        <v>-41.010000000000005</v>
      </c>
      <c r="E323" s="79">
        <v>-54.99</v>
      </c>
      <c r="F323" s="79">
        <v>-46.000000000000007</v>
      </c>
    </row>
    <row r="324" spans="1:6">
      <c r="A324" s="57">
        <v>8</v>
      </c>
      <c r="B324" s="78">
        <v>2025</v>
      </c>
      <c r="C324" s="79" t="s">
        <v>54</v>
      </c>
      <c r="D324" s="79">
        <v>-103.09</v>
      </c>
      <c r="E324" s="79">
        <v>-46</v>
      </c>
      <c r="F324" s="79">
        <v>-99.09</v>
      </c>
    </row>
    <row r="325" spans="1:6">
      <c r="A325" s="57">
        <v>9</v>
      </c>
      <c r="B325" s="78">
        <v>2025</v>
      </c>
      <c r="C325" s="79" t="s">
        <v>54</v>
      </c>
      <c r="D325" s="79">
        <v>-17.82</v>
      </c>
      <c r="E325" s="79">
        <v>-99.09</v>
      </c>
      <c r="F325" s="79">
        <v>-66.91</v>
      </c>
    </row>
    <row r="326" spans="1:6">
      <c r="A326" s="57">
        <v>10</v>
      </c>
      <c r="B326" s="78">
        <v>2025</v>
      </c>
      <c r="C326" s="79" t="s">
        <v>54</v>
      </c>
      <c r="D326" s="79">
        <v>-20.630000000000003</v>
      </c>
      <c r="E326" s="79">
        <v>-66.91</v>
      </c>
      <c r="F326" s="79">
        <v>-37.54</v>
      </c>
    </row>
    <row r="327" spans="1:6">
      <c r="A327" s="57">
        <v>11</v>
      </c>
      <c r="B327" s="78">
        <v>2025</v>
      </c>
      <c r="C327" s="79" t="s">
        <v>54</v>
      </c>
      <c r="D327" s="79">
        <v>0</v>
      </c>
      <c r="E327" s="79">
        <v>-37.54</v>
      </c>
      <c r="F327" s="79">
        <v>12.46</v>
      </c>
    </row>
    <row r="328" spans="1:6">
      <c r="A328" s="57">
        <v>12</v>
      </c>
      <c r="B328" s="78">
        <v>2025</v>
      </c>
      <c r="C328" s="79" t="s">
        <v>54</v>
      </c>
      <c r="D328" s="79">
        <v>0</v>
      </c>
      <c r="E328" s="79">
        <v>12.46</v>
      </c>
      <c r="F328" s="79">
        <v>62.46</v>
      </c>
    </row>
    <row r="329" spans="1:6">
      <c r="A329" s="57">
        <v>1</v>
      </c>
      <c r="B329" s="78">
        <v>2024</v>
      </c>
      <c r="C329" s="79" t="s">
        <v>47</v>
      </c>
      <c r="D329" s="79">
        <v>0</v>
      </c>
      <c r="E329" s="79">
        <v>3.57</v>
      </c>
      <c r="F329" s="79">
        <v>3.57</v>
      </c>
    </row>
    <row r="330" spans="1:6">
      <c r="A330" s="57">
        <v>2</v>
      </c>
      <c r="B330" s="78">
        <v>2024</v>
      </c>
      <c r="C330" s="79" t="s">
        <v>47</v>
      </c>
      <c r="D330" s="79">
        <v>0</v>
      </c>
      <c r="E330" s="79">
        <v>3.57</v>
      </c>
      <c r="F330" s="79">
        <v>3.5799999999999996</v>
      </c>
    </row>
    <row r="331" spans="1:6">
      <c r="A331" s="57">
        <v>3</v>
      </c>
      <c r="B331" s="78">
        <v>2024</v>
      </c>
      <c r="C331" s="79" t="s">
        <v>47</v>
      </c>
      <c r="D331" s="79">
        <v>-46.64</v>
      </c>
      <c r="E331" s="79">
        <v>3.58</v>
      </c>
      <c r="F331" s="79">
        <v>156.94</v>
      </c>
    </row>
    <row r="332" spans="1:6">
      <c r="A332" s="57">
        <v>4</v>
      </c>
      <c r="B332" s="78">
        <v>2024</v>
      </c>
      <c r="C332" s="79" t="s">
        <v>47</v>
      </c>
      <c r="D332" s="79">
        <v>0</v>
      </c>
      <c r="E332" s="79">
        <v>156.94</v>
      </c>
      <c r="F332" s="79">
        <v>356.94</v>
      </c>
    </row>
    <row r="333" spans="1:6">
      <c r="A333" s="57">
        <v>5</v>
      </c>
      <c r="B333" s="78">
        <v>2024</v>
      </c>
      <c r="C333" s="79" t="s">
        <v>47</v>
      </c>
      <c r="D333" s="79">
        <v>-269.17</v>
      </c>
      <c r="E333" s="79">
        <v>356.94</v>
      </c>
      <c r="F333" s="79">
        <v>287.77000000000004</v>
      </c>
    </row>
    <row r="334" spans="1:6">
      <c r="A334" s="57">
        <v>6</v>
      </c>
      <c r="B334" s="78">
        <v>2024</v>
      </c>
      <c r="C334" s="79" t="s">
        <v>47</v>
      </c>
      <c r="D334" s="79">
        <v>-444.08</v>
      </c>
      <c r="E334" s="79">
        <v>287.77</v>
      </c>
      <c r="F334" s="79">
        <v>43.689999999999941</v>
      </c>
    </row>
    <row r="335" spans="1:6">
      <c r="A335" s="57">
        <v>7</v>
      </c>
      <c r="B335" s="78">
        <v>2024</v>
      </c>
      <c r="C335" s="79" t="s">
        <v>47</v>
      </c>
      <c r="D335" s="79">
        <v>-146.47999999999999</v>
      </c>
      <c r="E335" s="79">
        <v>43.689999999999898</v>
      </c>
      <c r="F335" s="79">
        <v>97.209999999999894</v>
      </c>
    </row>
    <row r="336" spans="1:6">
      <c r="A336" s="57">
        <v>8</v>
      </c>
      <c r="B336" s="78">
        <v>2024</v>
      </c>
      <c r="C336" s="79" t="s">
        <v>47</v>
      </c>
      <c r="D336" s="79">
        <v>-137.88</v>
      </c>
      <c r="E336" s="79">
        <v>97.209999999999894</v>
      </c>
      <c r="F336" s="79">
        <v>159.32999999999993</v>
      </c>
    </row>
    <row r="337" spans="1:6">
      <c r="A337" s="57">
        <v>9</v>
      </c>
      <c r="B337" s="78">
        <v>2024</v>
      </c>
      <c r="C337" s="79" t="s">
        <v>47</v>
      </c>
      <c r="D337" s="79">
        <v>-100</v>
      </c>
      <c r="E337" s="79">
        <v>159.33000000000001</v>
      </c>
      <c r="F337" s="79">
        <v>259.33000000000004</v>
      </c>
    </row>
    <row r="338" spans="1:6">
      <c r="A338" s="57">
        <v>10</v>
      </c>
      <c r="B338" s="78">
        <v>2024</v>
      </c>
      <c r="C338" s="79" t="s">
        <v>47</v>
      </c>
      <c r="D338" s="79">
        <v>-30.48</v>
      </c>
      <c r="E338" s="79">
        <v>259.33</v>
      </c>
      <c r="F338" s="79">
        <v>428.85</v>
      </c>
    </row>
    <row r="339" spans="1:6">
      <c r="A339" s="57">
        <v>11</v>
      </c>
      <c r="B339" s="78">
        <v>2024</v>
      </c>
      <c r="C339" s="79" t="s">
        <v>47</v>
      </c>
      <c r="D339" s="79">
        <v>-93.58</v>
      </c>
      <c r="E339" s="79">
        <v>428.85</v>
      </c>
      <c r="F339" s="79">
        <v>535.27</v>
      </c>
    </row>
    <row r="340" spans="1:6">
      <c r="A340" s="57">
        <v>12</v>
      </c>
      <c r="B340" s="78">
        <v>2024</v>
      </c>
      <c r="C340" s="79" t="s">
        <v>47</v>
      </c>
      <c r="D340" s="79">
        <v>-1055.46</v>
      </c>
      <c r="E340" s="79">
        <v>535.27</v>
      </c>
      <c r="F340" s="79">
        <v>-320.19000000000005</v>
      </c>
    </row>
    <row r="341" spans="1:6">
      <c r="A341" s="57">
        <v>1</v>
      </c>
      <c r="B341" s="78">
        <v>2025</v>
      </c>
      <c r="C341" s="79" t="s">
        <v>47</v>
      </c>
      <c r="D341" s="79">
        <v>-130.88</v>
      </c>
      <c r="E341" s="79">
        <v>-320.19</v>
      </c>
      <c r="F341" s="79">
        <v>-251.07</v>
      </c>
    </row>
    <row r="342" spans="1:6">
      <c r="A342" s="57">
        <v>2</v>
      </c>
      <c r="B342" s="78">
        <v>2025</v>
      </c>
      <c r="C342" s="79" t="s">
        <v>47</v>
      </c>
      <c r="D342" s="79">
        <v>-84.16</v>
      </c>
      <c r="E342" s="79">
        <v>-251.07</v>
      </c>
      <c r="F342" s="79">
        <v>-135.22999999999999</v>
      </c>
    </row>
    <row r="343" spans="1:6">
      <c r="A343" s="57">
        <v>3</v>
      </c>
      <c r="B343" s="78">
        <v>2025</v>
      </c>
      <c r="C343" s="79" t="s">
        <v>47</v>
      </c>
      <c r="D343" s="79">
        <v>0</v>
      </c>
      <c r="E343" s="79">
        <v>-135.22999999999999</v>
      </c>
      <c r="F343" s="79">
        <v>64.77000000000001</v>
      </c>
    </row>
    <row r="344" spans="1:6">
      <c r="A344" s="57">
        <v>4</v>
      </c>
      <c r="B344" s="78">
        <v>2025</v>
      </c>
      <c r="C344" s="79" t="s">
        <v>47</v>
      </c>
      <c r="D344" s="79">
        <v>-241.02</v>
      </c>
      <c r="E344" s="79">
        <v>64.77</v>
      </c>
      <c r="F344" s="79">
        <v>23.75</v>
      </c>
    </row>
    <row r="345" spans="1:6">
      <c r="A345" s="57">
        <v>5</v>
      </c>
      <c r="B345" s="78">
        <v>2025</v>
      </c>
      <c r="C345" s="79" t="s">
        <v>47</v>
      </c>
      <c r="D345" s="79">
        <v>-151.72</v>
      </c>
      <c r="E345" s="79">
        <v>23.75</v>
      </c>
      <c r="F345" s="79">
        <v>72.03</v>
      </c>
    </row>
    <row r="346" spans="1:6">
      <c r="A346" s="57">
        <v>6</v>
      </c>
      <c r="B346" s="78">
        <v>2025</v>
      </c>
      <c r="C346" s="79" t="s">
        <v>47</v>
      </c>
      <c r="D346" s="79">
        <v>-185.6</v>
      </c>
      <c r="E346" s="79">
        <v>72.03</v>
      </c>
      <c r="F346" s="79">
        <v>86.429999999999978</v>
      </c>
    </row>
    <row r="347" spans="1:6">
      <c r="A347" s="57">
        <v>7</v>
      </c>
      <c r="B347" s="78">
        <v>2025</v>
      </c>
      <c r="C347" s="79" t="s">
        <v>47</v>
      </c>
      <c r="D347" s="79">
        <v>-246.61</v>
      </c>
      <c r="E347" s="79">
        <v>86.43</v>
      </c>
      <c r="F347" s="79">
        <v>39.819999999999993</v>
      </c>
    </row>
    <row r="348" spans="1:6">
      <c r="A348" s="57">
        <v>8</v>
      </c>
      <c r="B348" s="78">
        <v>2025</v>
      </c>
      <c r="C348" s="79" t="s">
        <v>47</v>
      </c>
      <c r="D348" s="79">
        <v>-30</v>
      </c>
      <c r="E348" s="79">
        <v>39.82</v>
      </c>
      <c r="F348" s="79">
        <v>209.82</v>
      </c>
    </row>
    <row r="349" spans="1:6">
      <c r="A349" s="57">
        <v>9</v>
      </c>
      <c r="B349" s="78">
        <v>2025</v>
      </c>
      <c r="C349" s="79" t="s">
        <v>47</v>
      </c>
      <c r="D349" s="79">
        <v>-30</v>
      </c>
      <c r="E349" s="79">
        <v>209.82</v>
      </c>
      <c r="F349" s="79">
        <v>379.82</v>
      </c>
    </row>
    <row r="350" spans="1:6">
      <c r="A350" s="57">
        <v>10</v>
      </c>
      <c r="B350" s="78">
        <v>2025</v>
      </c>
      <c r="C350" s="79" t="s">
        <v>47</v>
      </c>
      <c r="D350" s="79">
        <v>0</v>
      </c>
      <c r="E350" s="79">
        <v>379.82</v>
      </c>
      <c r="F350" s="79">
        <v>579.81999999999994</v>
      </c>
    </row>
    <row r="351" spans="1:6">
      <c r="A351" s="57">
        <v>11</v>
      </c>
      <c r="B351" s="78">
        <v>2025</v>
      </c>
      <c r="C351" s="79" t="s">
        <v>47</v>
      </c>
      <c r="D351" s="79">
        <v>-248.14</v>
      </c>
      <c r="E351" s="79">
        <v>579.82000000000005</v>
      </c>
      <c r="F351" s="79">
        <v>531.68000000000006</v>
      </c>
    </row>
    <row r="352" spans="1:6">
      <c r="A352" s="57">
        <v>12</v>
      </c>
      <c r="B352" s="78">
        <v>2025</v>
      </c>
      <c r="C352" s="79" t="s">
        <v>47</v>
      </c>
      <c r="D352" s="79">
        <v>0</v>
      </c>
      <c r="E352" s="79">
        <v>531.67999999999995</v>
      </c>
      <c r="F352" s="79">
        <v>731.68</v>
      </c>
    </row>
    <row r="353" spans="1:6">
      <c r="A353" s="57">
        <v>1</v>
      </c>
      <c r="B353" s="78">
        <v>2024</v>
      </c>
      <c r="C353" s="79" t="s">
        <v>57</v>
      </c>
      <c r="D353" s="79">
        <v>0</v>
      </c>
      <c r="E353" s="79">
        <v>-212</v>
      </c>
      <c r="F353" s="79">
        <v>-212</v>
      </c>
    </row>
    <row r="354" spans="1:6">
      <c r="A354" s="57">
        <v>2</v>
      </c>
      <c r="B354" s="78">
        <v>2024</v>
      </c>
      <c r="C354" s="79" t="s">
        <v>57</v>
      </c>
      <c r="D354" s="79">
        <v>-326.84000000000003</v>
      </c>
      <c r="E354" s="79">
        <v>-212</v>
      </c>
      <c r="F354" s="79">
        <v>-38.840000000000032</v>
      </c>
    </row>
    <row r="355" spans="1:6">
      <c r="A355" s="57">
        <v>3</v>
      </c>
      <c r="B355" s="78">
        <v>2024</v>
      </c>
      <c r="C355" s="79" t="s">
        <v>57</v>
      </c>
      <c r="D355" s="79">
        <v>-420.13</v>
      </c>
      <c r="E355" s="79">
        <v>-38.840000000000003</v>
      </c>
      <c r="F355" s="79">
        <v>41.029999999999973</v>
      </c>
    </row>
    <row r="356" spans="1:6">
      <c r="A356" s="57">
        <v>4</v>
      </c>
      <c r="B356" s="78">
        <v>2024</v>
      </c>
      <c r="C356" s="79" t="s">
        <v>57</v>
      </c>
      <c r="D356" s="79">
        <v>-529.59</v>
      </c>
      <c r="E356" s="79">
        <v>41.03</v>
      </c>
      <c r="F356" s="79">
        <v>11.439999999999941</v>
      </c>
    </row>
    <row r="357" spans="1:6">
      <c r="A357" s="57">
        <v>5</v>
      </c>
      <c r="B357" s="78">
        <v>2024</v>
      </c>
      <c r="C357" s="79" t="s">
        <v>57</v>
      </c>
      <c r="D357" s="79">
        <v>-569.36000000000013</v>
      </c>
      <c r="E357" s="79">
        <v>11.4399999999999</v>
      </c>
      <c r="F357" s="79">
        <v>-7.9200000000001856</v>
      </c>
    </row>
    <row r="358" spans="1:6">
      <c r="A358" s="57">
        <v>6</v>
      </c>
      <c r="B358" s="78">
        <v>2024</v>
      </c>
      <c r="C358" s="79" t="s">
        <v>57</v>
      </c>
      <c r="D358" s="79">
        <v>-477.63</v>
      </c>
      <c r="E358" s="79">
        <v>-7.92000000000019</v>
      </c>
      <c r="F358" s="79">
        <v>64.449999999999818</v>
      </c>
    </row>
    <row r="359" spans="1:6">
      <c r="A359" s="57">
        <v>7</v>
      </c>
      <c r="B359" s="78">
        <v>2024</v>
      </c>
      <c r="C359" s="79" t="s">
        <v>57</v>
      </c>
      <c r="D359" s="79">
        <v>-718.69</v>
      </c>
      <c r="E359" s="79">
        <v>64.449999999999804</v>
      </c>
      <c r="F359" s="79">
        <v>-104.24000000000024</v>
      </c>
    </row>
    <row r="360" spans="1:6">
      <c r="A360" s="57">
        <v>8</v>
      </c>
      <c r="B360" s="78">
        <v>2024</v>
      </c>
      <c r="C360" s="79" t="s">
        <v>57</v>
      </c>
      <c r="D360" s="79">
        <v>-505.16</v>
      </c>
      <c r="E360" s="79">
        <v>-104.24</v>
      </c>
      <c r="F360" s="79">
        <v>-59.400000000000034</v>
      </c>
    </row>
    <row r="361" spans="1:6">
      <c r="A361" s="57">
        <v>9</v>
      </c>
      <c r="B361" s="78">
        <v>2024</v>
      </c>
      <c r="C361" s="79" t="s">
        <v>57</v>
      </c>
      <c r="D361" s="79">
        <v>-490.1</v>
      </c>
      <c r="E361" s="79">
        <v>-59.4</v>
      </c>
      <c r="F361" s="79">
        <v>0.50000000000005684</v>
      </c>
    </row>
    <row r="362" spans="1:6">
      <c r="A362" s="57">
        <v>10</v>
      </c>
      <c r="B362" s="78">
        <v>2024</v>
      </c>
      <c r="C362" s="79" t="s">
        <v>57</v>
      </c>
      <c r="D362" s="79">
        <v>-354.90999999999997</v>
      </c>
      <c r="E362" s="79">
        <v>0.50000000000005695</v>
      </c>
      <c r="F362" s="79">
        <v>195.59000000000017</v>
      </c>
    </row>
    <row r="363" spans="1:6">
      <c r="A363" s="57">
        <v>11</v>
      </c>
      <c r="B363" s="78">
        <v>2024</v>
      </c>
      <c r="C363" s="79" t="s">
        <v>57</v>
      </c>
      <c r="D363" s="79">
        <v>-585.25</v>
      </c>
      <c r="E363" s="79">
        <v>195.59</v>
      </c>
      <c r="F363" s="79">
        <v>160.34000000000003</v>
      </c>
    </row>
    <row r="364" spans="1:6">
      <c r="A364" s="57">
        <v>12</v>
      </c>
      <c r="B364" s="78">
        <v>2024</v>
      </c>
      <c r="C364" s="79" t="s">
        <v>57</v>
      </c>
      <c r="D364" s="79">
        <v>-717.42000000000007</v>
      </c>
      <c r="E364" s="79">
        <v>160.34</v>
      </c>
      <c r="F364" s="79">
        <v>42.919999999999959</v>
      </c>
    </row>
    <row r="365" spans="1:6">
      <c r="A365" s="57">
        <v>1</v>
      </c>
      <c r="B365" s="78">
        <v>2025</v>
      </c>
      <c r="C365" s="79" t="s">
        <v>57</v>
      </c>
      <c r="D365" s="79">
        <v>-554.84999999999991</v>
      </c>
      <c r="E365" s="79">
        <v>42.92</v>
      </c>
      <c r="F365" s="79">
        <v>88.07000000000005</v>
      </c>
    </row>
    <row r="366" spans="1:6">
      <c r="A366" s="57">
        <v>2</v>
      </c>
      <c r="B366" s="78">
        <v>2025</v>
      </c>
      <c r="C366" s="79" t="s">
        <v>57</v>
      </c>
      <c r="D366" s="79">
        <v>-435.1</v>
      </c>
      <c r="E366" s="79">
        <v>88.070000000000107</v>
      </c>
      <c r="F366" s="79">
        <v>252.97000000000017</v>
      </c>
    </row>
    <row r="367" spans="1:6">
      <c r="A367" s="57">
        <v>3</v>
      </c>
      <c r="B367" s="78">
        <v>2025</v>
      </c>
      <c r="C367" s="79" t="s">
        <v>57</v>
      </c>
      <c r="D367" s="79">
        <v>-510.42</v>
      </c>
      <c r="E367" s="79">
        <v>252.97</v>
      </c>
      <c r="F367" s="79">
        <v>342.55000000000007</v>
      </c>
    </row>
    <row r="368" spans="1:6">
      <c r="A368" s="57">
        <v>4</v>
      </c>
      <c r="B368" s="78">
        <v>2025</v>
      </c>
      <c r="C368" s="79" t="s">
        <v>57</v>
      </c>
      <c r="D368" s="79">
        <v>-714.32999999999993</v>
      </c>
      <c r="E368" s="79">
        <v>342.55</v>
      </c>
      <c r="F368" s="79">
        <v>228.22000000000003</v>
      </c>
    </row>
    <row r="369" spans="1:6">
      <c r="A369" s="57">
        <v>5</v>
      </c>
      <c r="B369" s="78">
        <v>2025</v>
      </c>
      <c r="C369" s="79" t="s">
        <v>57</v>
      </c>
      <c r="D369" s="79">
        <v>-888.08</v>
      </c>
      <c r="E369" s="79">
        <v>228.22</v>
      </c>
      <c r="F369" s="79">
        <v>-59.860000000000014</v>
      </c>
    </row>
    <row r="370" spans="1:6">
      <c r="A370" s="57">
        <v>6</v>
      </c>
      <c r="B370" s="78">
        <v>2025</v>
      </c>
      <c r="C370" s="79" t="s">
        <v>57</v>
      </c>
      <c r="D370" s="79">
        <v>-417.5</v>
      </c>
      <c r="E370" s="79">
        <v>-59.86</v>
      </c>
      <c r="F370" s="79">
        <v>122.64</v>
      </c>
    </row>
    <row r="371" spans="1:6">
      <c r="A371" s="57">
        <v>7</v>
      </c>
      <c r="B371" s="78">
        <v>2025</v>
      </c>
      <c r="C371" s="79" t="s">
        <v>57</v>
      </c>
      <c r="D371" s="79">
        <v>-620.70000000000005</v>
      </c>
      <c r="E371" s="79">
        <v>122.64</v>
      </c>
      <c r="F371" s="79">
        <v>101.93999999999994</v>
      </c>
    </row>
    <row r="372" spans="1:6">
      <c r="A372" s="57">
        <v>8</v>
      </c>
      <c r="B372" s="78">
        <v>2025</v>
      </c>
      <c r="C372" s="79" t="s">
        <v>57</v>
      </c>
      <c r="D372" s="79">
        <v>-610.88</v>
      </c>
      <c r="E372" s="79">
        <v>101.94</v>
      </c>
      <c r="F372" s="79">
        <v>91.060000000000059</v>
      </c>
    </row>
    <row r="373" spans="1:6">
      <c r="A373" s="57">
        <v>9</v>
      </c>
      <c r="B373" s="78">
        <v>2025</v>
      </c>
      <c r="C373" s="79" t="s">
        <v>57</v>
      </c>
      <c r="D373" s="79">
        <v>-913.26</v>
      </c>
      <c r="E373" s="79">
        <v>91.060000000000102</v>
      </c>
      <c r="F373" s="79">
        <v>-222.19999999999993</v>
      </c>
    </row>
    <row r="374" spans="1:6">
      <c r="A374" s="57">
        <v>10</v>
      </c>
      <c r="B374" s="78">
        <v>2025</v>
      </c>
      <c r="C374" s="79" t="s">
        <v>57</v>
      </c>
      <c r="D374" s="79">
        <v>-1224.3</v>
      </c>
      <c r="E374" s="79">
        <v>-222.2</v>
      </c>
      <c r="F374" s="79">
        <v>-846.5</v>
      </c>
    </row>
    <row r="375" spans="1:6">
      <c r="A375" s="57">
        <v>11</v>
      </c>
      <c r="B375" s="78">
        <v>2025</v>
      </c>
      <c r="C375" s="79" t="s">
        <v>57</v>
      </c>
      <c r="D375" s="79">
        <v>-383</v>
      </c>
      <c r="E375" s="79">
        <v>-846.5</v>
      </c>
      <c r="F375" s="79">
        <v>-629.5</v>
      </c>
    </row>
    <row r="376" spans="1:6">
      <c r="A376" s="57">
        <v>12</v>
      </c>
      <c r="B376" s="78">
        <v>2025</v>
      </c>
      <c r="C376" s="79" t="s">
        <v>57</v>
      </c>
      <c r="D376" s="79">
        <v>0</v>
      </c>
      <c r="E376" s="79">
        <v>-629.5</v>
      </c>
      <c r="F376" s="79">
        <v>-29.5</v>
      </c>
    </row>
    <row r="377" spans="1:6">
      <c r="A377" s="57">
        <v>1</v>
      </c>
      <c r="B377" s="78">
        <v>2024</v>
      </c>
      <c r="C377" s="79" t="s">
        <v>43</v>
      </c>
      <c r="D377" s="79">
        <v>0</v>
      </c>
      <c r="E377" s="79">
        <v>-325.52999999999997</v>
      </c>
      <c r="F377" s="79">
        <v>-325.52999999999997</v>
      </c>
    </row>
    <row r="378" spans="1:6">
      <c r="A378" s="57">
        <v>2</v>
      </c>
      <c r="B378" s="78">
        <v>2024</v>
      </c>
      <c r="C378" s="79" t="s">
        <v>43</v>
      </c>
      <c r="D378" s="79">
        <v>-18.059999999999999</v>
      </c>
      <c r="E378" s="79">
        <v>-325.52999999999997</v>
      </c>
      <c r="F378" s="79">
        <v>-294.29499999999996</v>
      </c>
    </row>
    <row r="379" spans="1:6">
      <c r="A379" s="57">
        <v>3</v>
      </c>
      <c r="B379" s="78">
        <v>2024</v>
      </c>
      <c r="C379" s="79" t="s">
        <v>43</v>
      </c>
      <c r="D379" s="79">
        <v>-18.059999999999999</v>
      </c>
      <c r="E379" s="79">
        <v>-294.29500000000002</v>
      </c>
      <c r="F379" s="79">
        <v>-263.06</v>
      </c>
    </row>
    <row r="380" spans="1:6">
      <c r="A380" s="57">
        <v>4</v>
      </c>
      <c r="B380" s="78">
        <v>2024</v>
      </c>
      <c r="C380" s="79" t="s">
        <v>43</v>
      </c>
      <c r="D380" s="79">
        <v>-27.089999999999996</v>
      </c>
      <c r="E380" s="79">
        <v>-263.06</v>
      </c>
      <c r="F380" s="79">
        <v>-240.85499999999999</v>
      </c>
    </row>
    <row r="381" spans="1:6">
      <c r="A381" s="57">
        <v>5</v>
      </c>
      <c r="B381" s="78">
        <v>2024</v>
      </c>
      <c r="C381" s="79" t="s">
        <v>43</v>
      </c>
      <c r="D381" s="79">
        <v>-18.059999999999999</v>
      </c>
      <c r="E381" s="79">
        <v>-240.85499999999999</v>
      </c>
      <c r="F381" s="79">
        <v>-209.62</v>
      </c>
    </row>
    <row r="382" spans="1:6">
      <c r="A382" s="57">
        <v>6</v>
      </c>
      <c r="B382" s="78">
        <v>2024</v>
      </c>
      <c r="C382" s="79" t="s">
        <v>43</v>
      </c>
      <c r="D382" s="79">
        <v>-18.059999999999999</v>
      </c>
      <c r="E382" s="79">
        <v>-209.62</v>
      </c>
      <c r="F382" s="79">
        <v>-178.38499999999999</v>
      </c>
    </row>
    <row r="383" spans="1:6">
      <c r="A383" s="57">
        <v>7</v>
      </c>
      <c r="B383" s="78">
        <v>2024</v>
      </c>
      <c r="C383" s="79" t="s">
        <v>43</v>
      </c>
      <c r="D383" s="79">
        <v>-18.059999999999999</v>
      </c>
      <c r="E383" s="79">
        <v>-178.38499999999999</v>
      </c>
      <c r="F383" s="79">
        <v>-147.14999999999998</v>
      </c>
    </row>
    <row r="384" spans="1:6">
      <c r="A384" s="57">
        <v>8</v>
      </c>
      <c r="B384" s="78">
        <v>2024</v>
      </c>
      <c r="C384" s="79" t="s">
        <v>43</v>
      </c>
      <c r="D384" s="79">
        <v>-18.059999999999999</v>
      </c>
      <c r="E384" s="79">
        <v>-147.15</v>
      </c>
      <c r="F384" s="79">
        <v>-115.91500000000001</v>
      </c>
    </row>
    <row r="385" spans="1:6">
      <c r="A385" s="57">
        <v>9</v>
      </c>
      <c r="B385" s="78">
        <v>2024</v>
      </c>
      <c r="C385" s="79" t="s">
        <v>43</v>
      </c>
      <c r="D385" s="79">
        <v>-18.059999999999999</v>
      </c>
      <c r="E385" s="79">
        <v>-115.91500000000001</v>
      </c>
      <c r="F385" s="79">
        <v>-84.68</v>
      </c>
    </row>
    <row r="386" spans="1:6">
      <c r="A386" s="57">
        <v>10</v>
      </c>
      <c r="B386" s="78">
        <v>2024</v>
      </c>
      <c r="C386" s="79" t="s">
        <v>43</v>
      </c>
      <c r="D386" s="79">
        <v>-27.089999999999996</v>
      </c>
      <c r="E386" s="79">
        <v>-84.68</v>
      </c>
      <c r="F386" s="79">
        <v>-62.475000000000001</v>
      </c>
    </row>
    <row r="387" spans="1:6">
      <c r="A387" s="57">
        <v>11</v>
      </c>
      <c r="B387" s="78">
        <v>2024</v>
      </c>
      <c r="C387" s="79" t="s">
        <v>43</v>
      </c>
      <c r="D387" s="79">
        <v>-18.059999999999999</v>
      </c>
      <c r="E387" s="79">
        <v>-62.475000000000001</v>
      </c>
      <c r="F387" s="79">
        <v>-31.24</v>
      </c>
    </row>
    <row r="388" spans="1:6">
      <c r="A388" s="57">
        <v>12</v>
      </c>
      <c r="B388" s="78">
        <v>2024</v>
      </c>
      <c r="C388" s="79" t="s">
        <v>43</v>
      </c>
      <c r="D388" s="79">
        <v>-18.059999999999999</v>
      </c>
      <c r="E388" s="79">
        <v>-31.24</v>
      </c>
      <c r="F388" s="79">
        <v>-4.9999999999954525E-3</v>
      </c>
    </row>
    <row r="389" spans="1:6">
      <c r="A389" s="57">
        <v>1</v>
      </c>
      <c r="B389" s="78">
        <v>2025</v>
      </c>
      <c r="C389" s="79" t="s">
        <v>43</v>
      </c>
      <c r="D389" s="79">
        <v>-74.55</v>
      </c>
      <c r="E389" s="79">
        <v>-4.9999999999954499E-3</v>
      </c>
      <c r="F389" s="79">
        <v>-25.259999999999991</v>
      </c>
    </row>
    <row r="390" spans="1:6">
      <c r="A390" s="57">
        <v>2</v>
      </c>
      <c r="B390" s="78">
        <v>2025</v>
      </c>
      <c r="C390" s="79" t="s">
        <v>43</v>
      </c>
      <c r="D390" s="79">
        <v>-18.059999999999999</v>
      </c>
      <c r="E390" s="79">
        <v>-25.26</v>
      </c>
      <c r="F390" s="79">
        <v>5.9750000000000014</v>
      </c>
    </row>
    <row r="391" spans="1:6">
      <c r="A391" s="57">
        <v>3</v>
      </c>
      <c r="B391" s="78">
        <v>2025</v>
      </c>
      <c r="C391" s="79" t="s">
        <v>43</v>
      </c>
      <c r="D391" s="79">
        <v>-18.059999999999999</v>
      </c>
      <c r="E391" s="79">
        <v>5.9749999999999996</v>
      </c>
      <c r="F391" s="79">
        <v>37.210000000000008</v>
      </c>
    </row>
    <row r="392" spans="1:6">
      <c r="A392" s="57">
        <v>4</v>
      </c>
      <c r="B392" s="78">
        <v>2025</v>
      </c>
      <c r="C392" s="79" t="s">
        <v>43</v>
      </c>
      <c r="D392" s="79">
        <v>-27.089999999999996</v>
      </c>
      <c r="E392" s="79">
        <v>37.21</v>
      </c>
      <c r="F392" s="79">
        <v>59.414999999999999</v>
      </c>
    </row>
    <row r="393" spans="1:6">
      <c r="A393" s="57">
        <v>5</v>
      </c>
      <c r="B393" s="78">
        <v>2025</v>
      </c>
      <c r="C393" s="79" t="s">
        <v>43</v>
      </c>
      <c r="D393" s="79">
        <v>-18.059999999999999</v>
      </c>
      <c r="E393" s="79">
        <v>59.414999999999999</v>
      </c>
      <c r="F393" s="79">
        <v>90.65</v>
      </c>
    </row>
    <row r="394" spans="1:6">
      <c r="A394" s="57">
        <v>6</v>
      </c>
      <c r="B394" s="78">
        <v>2025</v>
      </c>
      <c r="C394" s="79" t="s">
        <v>43</v>
      </c>
      <c r="D394" s="79">
        <v>-18.059999999999999</v>
      </c>
      <c r="E394" s="79">
        <v>90.65</v>
      </c>
      <c r="F394" s="79">
        <v>121.88500000000001</v>
      </c>
    </row>
    <row r="395" spans="1:6">
      <c r="A395" s="57">
        <v>7</v>
      </c>
      <c r="B395" s="78">
        <v>2025</v>
      </c>
      <c r="C395" s="79" t="s">
        <v>43</v>
      </c>
      <c r="D395" s="79">
        <v>-181.89</v>
      </c>
      <c r="E395" s="79">
        <v>121.88500000000001</v>
      </c>
      <c r="F395" s="79">
        <v>-10.710000000000008</v>
      </c>
    </row>
    <row r="396" spans="1:6">
      <c r="A396" s="57">
        <v>8</v>
      </c>
      <c r="B396" s="78">
        <v>2025</v>
      </c>
      <c r="C396" s="79" t="s">
        <v>43</v>
      </c>
      <c r="D396" s="79">
        <v>-18.059999999999999</v>
      </c>
      <c r="E396" s="79">
        <v>-10.71</v>
      </c>
      <c r="F396" s="79">
        <v>20.524999999999999</v>
      </c>
    </row>
    <row r="397" spans="1:6">
      <c r="A397" s="57">
        <v>9</v>
      </c>
      <c r="B397" s="78">
        <v>2025</v>
      </c>
      <c r="C397" s="79" t="s">
        <v>43</v>
      </c>
      <c r="D397" s="79">
        <v>-69.819999999999993</v>
      </c>
      <c r="E397" s="79">
        <v>20.524999999999999</v>
      </c>
      <c r="F397" s="79">
        <v>0</v>
      </c>
    </row>
    <row r="398" spans="1:6">
      <c r="A398" s="57">
        <v>10</v>
      </c>
      <c r="B398" s="78">
        <v>2025</v>
      </c>
      <c r="C398" s="79" t="s">
        <v>43</v>
      </c>
      <c r="D398" s="79">
        <v>-27.089999999999996</v>
      </c>
      <c r="E398" s="79">
        <v>0</v>
      </c>
      <c r="F398" s="79">
        <v>-3.5699999999999967</v>
      </c>
    </row>
    <row r="399" spans="1:6">
      <c r="A399" s="57">
        <v>11</v>
      </c>
      <c r="B399" s="78">
        <v>2025</v>
      </c>
      <c r="C399" s="79" t="s">
        <v>43</v>
      </c>
      <c r="D399" s="79">
        <v>-18.059999999999999</v>
      </c>
      <c r="E399" s="79">
        <v>-3.57</v>
      </c>
      <c r="F399" s="79">
        <v>1.8900000000000006</v>
      </c>
    </row>
    <row r="400" spans="1:6">
      <c r="A400" s="57">
        <v>12</v>
      </c>
      <c r="B400" s="78">
        <v>2025</v>
      </c>
      <c r="C400" s="79" t="s">
        <v>43</v>
      </c>
      <c r="D400" s="79">
        <v>0</v>
      </c>
      <c r="E400" s="79">
        <v>1.89</v>
      </c>
      <c r="F400" s="79">
        <v>25.41</v>
      </c>
    </row>
    <row r="401" spans="1:6">
      <c r="A401" s="57">
        <v>1</v>
      </c>
      <c r="B401" s="78">
        <v>2024</v>
      </c>
      <c r="C401" s="79" t="s">
        <v>66</v>
      </c>
      <c r="D401" s="79">
        <v>0</v>
      </c>
      <c r="E401" s="79">
        <v>657</v>
      </c>
      <c r="F401" s="79">
        <v>657</v>
      </c>
    </row>
    <row r="402" spans="1:6">
      <c r="A402" s="57">
        <v>2</v>
      </c>
      <c r="B402" s="78">
        <v>2024</v>
      </c>
      <c r="C402" s="79" t="s">
        <v>66</v>
      </c>
      <c r="D402" s="79">
        <v>0</v>
      </c>
      <c r="E402" s="79">
        <v>657</v>
      </c>
      <c r="F402" s="79">
        <v>807</v>
      </c>
    </row>
    <row r="403" spans="1:6">
      <c r="A403" s="57">
        <v>3</v>
      </c>
      <c r="B403" s="78">
        <v>2024</v>
      </c>
      <c r="C403" s="79" t="s">
        <v>66</v>
      </c>
      <c r="D403" s="79">
        <v>-702.6</v>
      </c>
      <c r="E403" s="79">
        <v>807</v>
      </c>
      <c r="F403" s="79">
        <v>254.4</v>
      </c>
    </row>
    <row r="404" spans="1:6">
      <c r="A404" s="57">
        <v>4</v>
      </c>
      <c r="B404" s="78">
        <v>2024</v>
      </c>
      <c r="C404" s="79" t="s">
        <v>66</v>
      </c>
      <c r="D404" s="79">
        <v>448.5</v>
      </c>
      <c r="E404" s="79">
        <v>254.4</v>
      </c>
      <c r="F404" s="79">
        <v>852.9</v>
      </c>
    </row>
    <row r="405" spans="1:6">
      <c r="A405" s="57">
        <v>5</v>
      </c>
      <c r="B405" s="78">
        <v>2024</v>
      </c>
      <c r="C405" s="79" t="s">
        <v>66</v>
      </c>
      <c r="D405" s="79">
        <v>0</v>
      </c>
      <c r="E405" s="79">
        <v>852.9</v>
      </c>
      <c r="F405" s="79">
        <v>1002.9</v>
      </c>
    </row>
    <row r="406" spans="1:6">
      <c r="A406" s="57">
        <v>6</v>
      </c>
      <c r="B406" s="78">
        <v>2024</v>
      </c>
      <c r="C406" s="79" t="s">
        <v>66</v>
      </c>
      <c r="D406" s="79">
        <v>-1.5</v>
      </c>
      <c r="E406" s="79">
        <v>1002.9</v>
      </c>
      <c r="F406" s="79">
        <v>1151.4000000000001</v>
      </c>
    </row>
    <row r="407" spans="1:6">
      <c r="A407" s="57">
        <v>7</v>
      </c>
      <c r="B407" s="78">
        <v>2024</v>
      </c>
      <c r="C407" s="79" t="s">
        <v>66</v>
      </c>
      <c r="D407" s="79">
        <v>0</v>
      </c>
      <c r="E407" s="79">
        <v>1151.4000000000001</v>
      </c>
      <c r="F407" s="79">
        <v>1301.4000000000001</v>
      </c>
    </row>
    <row r="408" spans="1:6">
      <c r="A408" s="57">
        <v>8</v>
      </c>
      <c r="B408" s="78">
        <v>2024</v>
      </c>
      <c r="C408" s="79" t="s">
        <v>66</v>
      </c>
      <c r="D408" s="79">
        <v>0</v>
      </c>
      <c r="E408" s="79">
        <v>1301.4000000000001</v>
      </c>
      <c r="F408" s="79">
        <v>1451.4</v>
      </c>
    </row>
    <row r="409" spans="1:6">
      <c r="A409" s="57">
        <v>9</v>
      </c>
      <c r="B409" s="78">
        <v>2024</v>
      </c>
      <c r="C409" s="79" t="s">
        <v>66</v>
      </c>
      <c r="D409" s="79">
        <v>0</v>
      </c>
      <c r="E409" s="79">
        <v>1451.4</v>
      </c>
      <c r="F409" s="79">
        <v>1601.4</v>
      </c>
    </row>
    <row r="410" spans="1:6">
      <c r="A410" s="57">
        <v>10</v>
      </c>
      <c r="B410" s="78">
        <v>2024</v>
      </c>
      <c r="C410" s="79" t="s">
        <v>66</v>
      </c>
      <c r="D410" s="79">
        <v>-6</v>
      </c>
      <c r="E410" s="79">
        <v>1601.4</v>
      </c>
      <c r="F410" s="79">
        <v>1745.4</v>
      </c>
    </row>
    <row r="411" spans="1:6">
      <c r="A411" s="57">
        <v>11</v>
      </c>
      <c r="B411" s="78">
        <v>2024</v>
      </c>
      <c r="C411" s="79" t="s">
        <v>66</v>
      </c>
      <c r="D411" s="79">
        <v>-1.5</v>
      </c>
      <c r="E411" s="79">
        <v>1745.4</v>
      </c>
      <c r="F411" s="79">
        <v>1893.9</v>
      </c>
    </row>
    <row r="412" spans="1:6">
      <c r="A412" s="57">
        <v>12</v>
      </c>
      <c r="B412" s="78">
        <v>2024</v>
      </c>
      <c r="C412" s="79" t="s">
        <v>66</v>
      </c>
      <c r="D412" s="79">
        <v>0</v>
      </c>
      <c r="E412" s="79">
        <v>1893.9</v>
      </c>
      <c r="F412" s="79">
        <v>2043.9</v>
      </c>
    </row>
    <row r="413" spans="1:6">
      <c r="A413" s="57">
        <v>1</v>
      </c>
      <c r="B413" s="78">
        <v>2025</v>
      </c>
      <c r="C413" s="79" t="s">
        <v>66</v>
      </c>
      <c r="D413" s="79">
        <v>-28.59</v>
      </c>
      <c r="E413" s="79">
        <v>2043.9</v>
      </c>
      <c r="F413" s="79">
        <v>2165.31</v>
      </c>
    </row>
    <row r="414" spans="1:6">
      <c r="A414" s="57">
        <v>2</v>
      </c>
      <c r="B414" s="78">
        <v>2025</v>
      </c>
      <c r="C414" s="79" t="s">
        <v>66</v>
      </c>
      <c r="D414" s="79">
        <v>-3</v>
      </c>
      <c r="E414" s="79">
        <v>2165.31</v>
      </c>
      <c r="F414" s="79">
        <v>2312.31</v>
      </c>
    </row>
    <row r="415" spans="1:6">
      <c r="A415" s="57">
        <v>3</v>
      </c>
      <c r="B415" s="78">
        <v>2025</v>
      </c>
      <c r="C415" s="79" t="s">
        <v>66</v>
      </c>
      <c r="D415" s="79">
        <v>0</v>
      </c>
      <c r="E415" s="79">
        <v>2312.31</v>
      </c>
      <c r="F415" s="79">
        <v>2462.31</v>
      </c>
    </row>
    <row r="416" spans="1:6">
      <c r="A416" s="57">
        <v>4</v>
      </c>
      <c r="B416" s="78">
        <v>2025</v>
      </c>
      <c r="C416" s="79" t="s">
        <v>66</v>
      </c>
      <c r="D416" s="79">
        <v>0</v>
      </c>
      <c r="E416" s="79">
        <v>2462.31</v>
      </c>
      <c r="F416" s="79">
        <v>2612.31</v>
      </c>
    </row>
    <row r="417" spans="1:6">
      <c r="A417" s="57">
        <v>5</v>
      </c>
      <c r="B417" s="78">
        <v>2025</v>
      </c>
      <c r="C417" s="79" t="s">
        <v>66</v>
      </c>
      <c r="D417" s="79">
        <v>-7.5</v>
      </c>
      <c r="E417" s="79">
        <v>2612.31</v>
      </c>
      <c r="F417" s="79">
        <v>2754.81</v>
      </c>
    </row>
    <row r="418" spans="1:6">
      <c r="A418" s="57">
        <v>6</v>
      </c>
      <c r="B418" s="78">
        <v>2025</v>
      </c>
      <c r="C418" s="79" t="s">
        <v>66</v>
      </c>
      <c r="D418" s="79">
        <v>-56</v>
      </c>
      <c r="E418" s="79">
        <v>2754.81</v>
      </c>
      <c r="F418" s="79">
        <v>2898.81</v>
      </c>
    </row>
    <row r="419" spans="1:6">
      <c r="A419" s="57">
        <v>7</v>
      </c>
      <c r="B419" s="78">
        <v>2025</v>
      </c>
      <c r="C419" s="79" t="s">
        <v>66</v>
      </c>
      <c r="D419" s="79">
        <v>0</v>
      </c>
      <c r="E419" s="79">
        <v>2898.81</v>
      </c>
      <c r="F419" s="79">
        <v>3098.81</v>
      </c>
    </row>
    <row r="420" spans="1:6">
      <c r="A420" s="57">
        <v>8</v>
      </c>
      <c r="B420" s="78">
        <v>2025</v>
      </c>
      <c r="C420" s="79" t="s">
        <v>66</v>
      </c>
      <c r="D420" s="79">
        <v>0</v>
      </c>
      <c r="E420" s="79">
        <v>3098.81</v>
      </c>
      <c r="F420" s="79">
        <v>3298.81</v>
      </c>
    </row>
    <row r="421" spans="1:6">
      <c r="A421" s="57">
        <v>9</v>
      </c>
      <c r="B421" s="78">
        <v>2025</v>
      </c>
      <c r="C421" s="79" t="s">
        <v>66</v>
      </c>
      <c r="D421" s="79">
        <v>-1506.75</v>
      </c>
      <c r="E421" s="79">
        <v>3298.81</v>
      </c>
      <c r="F421" s="79">
        <v>1992.06</v>
      </c>
    </row>
    <row r="422" spans="1:6">
      <c r="A422" s="57">
        <v>10</v>
      </c>
      <c r="B422" s="78">
        <v>2025</v>
      </c>
      <c r="C422" s="79" t="s">
        <v>66</v>
      </c>
      <c r="D422" s="79">
        <v>1171.5500000000002</v>
      </c>
      <c r="E422" s="79">
        <v>1992.06</v>
      </c>
      <c r="F422" s="79">
        <v>3363.61</v>
      </c>
    </row>
    <row r="423" spans="1:6">
      <c r="A423" s="57">
        <v>11</v>
      </c>
      <c r="B423" s="78">
        <v>2025</v>
      </c>
      <c r="C423" s="79" t="s">
        <v>66</v>
      </c>
      <c r="D423" s="79">
        <v>-1467.74</v>
      </c>
      <c r="E423" s="79">
        <v>3363.61</v>
      </c>
      <c r="F423" s="79">
        <v>2095.87</v>
      </c>
    </row>
    <row r="424" spans="1:6">
      <c r="A424" s="57">
        <v>12</v>
      </c>
      <c r="B424" s="78">
        <v>2025</v>
      </c>
      <c r="C424" s="79" t="s">
        <v>66</v>
      </c>
      <c r="D424" s="79">
        <v>0</v>
      </c>
      <c r="E424" s="79">
        <v>2095.87</v>
      </c>
      <c r="F424" s="79">
        <v>2295.87</v>
      </c>
    </row>
    <row r="425" spans="1:6">
      <c r="A425" s="57">
        <v>1</v>
      </c>
      <c r="B425" s="78">
        <v>2024</v>
      </c>
      <c r="C425" s="79" t="s">
        <v>60</v>
      </c>
      <c r="D425" s="79">
        <v>0</v>
      </c>
      <c r="E425" s="79">
        <v>5</v>
      </c>
      <c r="F425" s="79">
        <v>5</v>
      </c>
    </row>
    <row r="426" spans="1:6">
      <c r="A426" s="57">
        <v>2</v>
      </c>
      <c r="B426" s="78">
        <v>2024</v>
      </c>
      <c r="C426" s="79" t="s">
        <v>60</v>
      </c>
      <c r="D426" s="79">
        <v>-96</v>
      </c>
      <c r="E426" s="79">
        <v>5</v>
      </c>
      <c r="F426" s="79">
        <v>10</v>
      </c>
    </row>
    <row r="427" spans="1:6">
      <c r="A427" s="57">
        <v>3</v>
      </c>
      <c r="B427" s="78">
        <v>2024</v>
      </c>
      <c r="C427" s="79" t="s">
        <v>60</v>
      </c>
      <c r="D427" s="79">
        <v>-96</v>
      </c>
      <c r="E427" s="79">
        <v>10</v>
      </c>
      <c r="F427" s="79">
        <v>15</v>
      </c>
    </row>
    <row r="428" spans="1:6">
      <c r="A428" s="57">
        <v>4</v>
      </c>
      <c r="B428" s="78">
        <v>2024</v>
      </c>
      <c r="C428" s="79" t="s">
        <v>60</v>
      </c>
      <c r="D428" s="79">
        <v>-96</v>
      </c>
      <c r="E428" s="79">
        <v>15</v>
      </c>
      <c r="F428" s="79">
        <v>20</v>
      </c>
    </row>
    <row r="429" spans="1:6">
      <c r="A429" s="57">
        <v>5</v>
      </c>
      <c r="B429" s="78">
        <v>2024</v>
      </c>
      <c r="C429" s="79" t="s">
        <v>60</v>
      </c>
      <c r="D429" s="79">
        <v>-98.38</v>
      </c>
      <c r="E429" s="79">
        <v>20</v>
      </c>
      <c r="F429" s="79">
        <v>22.620000000000005</v>
      </c>
    </row>
    <row r="430" spans="1:6">
      <c r="A430" s="57">
        <v>6</v>
      </c>
      <c r="B430" s="78">
        <v>2024</v>
      </c>
      <c r="C430" s="79" t="s">
        <v>60</v>
      </c>
      <c r="D430" s="79">
        <v>-96</v>
      </c>
      <c r="E430" s="79">
        <v>22.62</v>
      </c>
      <c r="F430" s="79">
        <v>27.620000000000005</v>
      </c>
    </row>
    <row r="431" spans="1:6">
      <c r="A431" s="57">
        <v>7</v>
      </c>
      <c r="B431" s="78">
        <v>2024</v>
      </c>
      <c r="C431" s="79" t="s">
        <v>60</v>
      </c>
      <c r="D431" s="79">
        <v>-96</v>
      </c>
      <c r="E431" s="79">
        <v>27.62</v>
      </c>
      <c r="F431" s="79">
        <v>32.620000000000005</v>
      </c>
    </row>
    <row r="432" spans="1:6">
      <c r="A432" s="57">
        <v>8</v>
      </c>
      <c r="B432" s="78">
        <v>2024</v>
      </c>
      <c r="C432" s="79" t="s">
        <v>60</v>
      </c>
      <c r="D432" s="79">
        <v>0</v>
      </c>
      <c r="E432" s="79">
        <v>32.619999999999997</v>
      </c>
      <c r="F432" s="79">
        <v>133.62</v>
      </c>
    </row>
    <row r="433" spans="1:6">
      <c r="A433" s="57">
        <v>9</v>
      </c>
      <c r="B433" s="78">
        <v>2024</v>
      </c>
      <c r="C433" s="79" t="s">
        <v>60</v>
      </c>
      <c r="D433" s="79">
        <v>-18.2</v>
      </c>
      <c r="E433" s="79">
        <v>133.62</v>
      </c>
      <c r="F433" s="79">
        <v>216.42</v>
      </c>
    </row>
    <row r="434" spans="1:6">
      <c r="A434" s="57">
        <v>10</v>
      </c>
      <c r="B434" s="78">
        <v>2024</v>
      </c>
      <c r="C434" s="79" t="s">
        <v>60</v>
      </c>
      <c r="D434" s="79">
        <v>-87</v>
      </c>
      <c r="E434" s="79">
        <v>216.42</v>
      </c>
      <c r="F434" s="79">
        <v>230.41999999999996</v>
      </c>
    </row>
    <row r="435" spans="1:6">
      <c r="A435" s="57">
        <v>11</v>
      </c>
      <c r="B435" s="78">
        <v>2024</v>
      </c>
      <c r="C435" s="79" t="s">
        <v>60</v>
      </c>
      <c r="D435" s="79">
        <v>-165.16</v>
      </c>
      <c r="E435" s="79">
        <v>230.42</v>
      </c>
      <c r="F435" s="79">
        <v>166.25999999999996</v>
      </c>
    </row>
    <row r="436" spans="1:6">
      <c r="A436" s="57">
        <v>12</v>
      </c>
      <c r="B436" s="78">
        <v>2024</v>
      </c>
      <c r="C436" s="79" t="s">
        <v>60</v>
      </c>
      <c r="D436" s="79">
        <v>-87</v>
      </c>
      <c r="E436" s="79">
        <v>166.26</v>
      </c>
      <c r="F436" s="79">
        <v>180.26</v>
      </c>
    </row>
    <row r="437" spans="1:6">
      <c r="A437" s="57">
        <v>1</v>
      </c>
      <c r="B437" s="78">
        <v>2025</v>
      </c>
      <c r="C437" s="79" t="s">
        <v>60</v>
      </c>
      <c r="D437" s="79">
        <v>-87</v>
      </c>
      <c r="E437" s="79">
        <v>180.26</v>
      </c>
      <c r="F437" s="79">
        <v>194.26</v>
      </c>
    </row>
    <row r="438" spans="1:6">
      <c r="A438" s="57">
        <v>2</v>
      </c>
      <c r="B438" s="78">
        <v>2025</v>
      </c>
      <c r="C438" s="79" t="s">
        <v>60</v>
      </c>
      <c r="D438" s="79">
        <v>-87</v>
      </c>
      <c r="E438" s="79">
        <v>194.26</v>
      </c>
      <c r="F438" s="79">
        <v>208.26</v>
      </c>
    </row>
    <row r="439" spans="1:6">
      <c r="A439" s="57">
        <v>3</v>
      </c>
      <c r="B439" s="78">
        <v>2025</v>
      </c>
      <c r="C439" s="79" t="s">
        <v>60</v>
      </c>
      <c r="D439" s="79">
        <v>-87</v>
      </c>
      <c r="E439" s="79">
        <v>208.26</v>
      </c>
      <c r="F439" s="79">
        <v>222.26</v>
      </c>
    </row>
    <row r="440" spans="1:6">
      <c r="A440" s="57">
        <v>4</v>
      </c>
      <c r="B440" s="78">
        <v>2025</v>
      </c>
      <c r="C440" s="79" t="s">
        <v>60</v>
      </c>
      <c r="D440" s="79">
        <v>-87</v>
      </c>
      <c r="E440" s="79">
        <v>222.26</v>
      </c>
      <c r="F440" s="79">
        <v>236.26</v>
      </c>
    </row>
    <row r="441" spans="1:6">
      <c r="A441" s="57">
        <v>5</v>
      </c>
      <c r="B441" s="78">
        <v>2025</v>
      </c>
      <c r="C441" s="79" t="s">
        <v>60</v>
      </c>
      <c r="D441" s="79">
        <v>-87.71</v>
      </c>
      <c r="E441" s="79">
        <v>236.26</v>
      </c>
      <c r="F441" s="79">
        <v>249.55</v>
      </c>
    </row>
    <row r="442" spans="1:6">
      <c r="A442" s="57">
        <v>6</v>
      </c>
      <c r="B442" s="78">
        <v>2025</v>
      </c>
      <c r="C442" s="79" t="s">
        <v>60</v>
      </c>
      <c r="D442" s="79">
        <v>-87</v>
      </c>
      <c r="E442" s="79">
        <v>249.55</v>
      </c>
      <c r="F442" s="79">
        <v>263.55</v>
      </c>
    </row>
    <row r="443" spans="1:6">
      <c r="A443" s="57">
        <v>7</v>
      </c>
      <c r="B443" s="78">
        <v>2025</v>
      </c>
      <c r="C443" s="79" t="s">
        <v>60</v>
      </c>
      <c r="D443" s="79">
        <v>-87</v>
      </c>
      <c r="E443" s="79">
        <v>263.55</v>
      </c>
      <c r="F443" s="79">
        <v>277.55</v>
      </c>
    </row>
    <row r="444" spans="1:6">
      <c r="A444" s="57">
        <v>8</v>
      </c>
      <c r="B444" s="78">
        <v>2025</v>
      </c>
      <c r="C444" s="79" t="s">
        <v>60</v>
      </c>
      <c r="D444" s="79">
        <v>-107.77</v>
      </c>
      <c r="E444" s="79">
        <v>277.55</v>
      </c>
      <c r="F444" s="79">
        <v>270.78000000000003</v>
      </c>
    </row>
    <row r="445" spans="1:6">
      <c r="A445" s="57">
        <v>9</v>
      </c>
      <c r="B445" s="78">
        <v>2025</v>
      </c>
      <c r="C445" s="79" t="s">
        <v>60</v>
      </c>
      <c r="D445" s="79">
        <v>-291.77999999999997</v>
      </c>
      <c r="E445" s="79">
        <v>270.77999999999997</v>
      </c>
      <c r="F445" s="79">
        <v>80</v>
      </c>
    </row>
    <row r="446" spans="1:6">
      <c r="A446" s="57">
        <v>10</v>
      </c>
      <c r="B446" s="78">
        <v>2025</v>
      </c>
      <c r="C446" s="79" t="s">
        <v>60</v>
      </c>
      <c r="D446" s="79">
        <v>-78</v>
      </c>
      <c r="E446" s="79">
        <v>80</v>
      </c>
      <c r="F446" s="79">
        <v>82</v>
      </c>
    </row>
    <row r="447" spans="1:6">
      <c r="A447" s="57">
        <v>11</v>
      </c>
      <c r="B447" s="78">
        <v>2025</v>
      </c>
      <c r="C447" s="79" t="s">
        <v>60</v>
      </c>
      <c r="D447" s="79">
        <v>-78</v>
      </c>
      <c r="E447" s="79">
        <v>82</v>
      </c>
      <c r="F447" s="79">
        <v>84</v>
      </c>
    </row>
    <row r="448" spans="1:6">
      <c r="A448" s="57">
        <v>12</v>
      </c>
      <c r="B448" s="78">
        <v>2025</v>
      </c>
      <c r="C448" s="79" t="s">
        <v>60</v>
      </c>
      <c r="D448" s="79">
        <v>0</v>
      </c>
      <c r="E448" s="79">
        <v>84</v>
      </c>
      <c r="F448" s="79">
        <v>164</v>
      </c>
    </row>
    <row r="449" spans="1:6">
      <c r="A449" s="57">
        <v>1</v>
      </c>
      <c r="B449" s="78">
        <v>2024</v>
      </c>
      <c r="C449" s="79" t="s">
        <v>30</v>
      </c>
      <c r="D449" s="79">
        <v>0</v>
      </c>
      <c r="E449" s="79">
        <v>0</v>
      </c>
      <c r="F449" s="79">
        <v>0</v>
      </c>
    </row>
    <row r="450" spans="1:6">
      <c r="A450" s="57">
        <v>2</v>
      </c>
      <c r="B450" s="78">
        <v>2024</v>
      </c>
      <c r="C450" s="79" t="s">
        <v>30</v>
      </c>
      <c r="D450" s="79">
        <v>-195.65</v>
      </c>
      <c r="E450" s="79">
        <v>0</v>
      </c>
      <c r="F450" s="79">
        <v>0</v>
      </c>
    </row>
    <row r="451" spans="1:6">
      <c r="A451" s="57">
        <v>3</v>
      </c>
      <c r="B451" s="78">
        <v>2024</v>
      </c>
      <c r="C451" s="79" t="s">
        <v>30</v>
      </c>
      <c r="D451" s="79">
        <v>-214.82</v>
      </c>
      <c r="E451" s="79">
        <v>0</v>
      </c>
      <c r="F451" s="79">
        <v>9.0000000000003411E-2</v>
      </c>
    </row>
    <row r="452" spans="1:6">
      <c r="A452" s="57">
        <v>4</v>
      </c>
      <c r="B452" s="78">
        <v>2024</v>
      </c>
      <c r="C452" s="79" t="s">
        <v>30</v>
      </c>
      <c r="D452" s="79">
        <v>-214.82</v>
      </c>
      <c r="E452" s="79">
        <v>9.0000000000003397E-2</v>
      </c>
      <c r="F452" s="79">
        <v>9.0000000000003411E-2</v>
      </c>
    </row>
    <row r="453" spans="1:6">
      <c r="A453" s="57">
        <v>5</v>
      </c>
      <c r="B453" s="78">
        <v>2024</v>
      </c>
      <c r="C453" s="79" t="s">
        <v>30</v>
      </c>
      <c r="D453" s="79">
        <v>-214.82</v>
      </c>
      <c r="E453" s="79">
        <v>9.0000000000003397E-2</v>
      </c>
      <c r="F453" s="79">
        <v>9.0000000000003411E-2</v>
      </c>
    </row>
    <row r="454" spans="1:6">
      <c r="A454" s="57">
        <v>6</v>
      </c>
      <c r="B454" s="78">
        <v>2024</v>
      </c>
      <c r="C454" s="79" t="s">
        <v>30</v>
      </c>
      <c r="D454" s="79">
        <v>-214.82</v>
      </c>
      <c r="E454" s="79">
        <v>9.0000000000003397E-2</v>
      </c>
      <c r="F454" s="79">
        <v>9.0000000000003411E-2</v>
      </c>
    </row>
    <row r="455" spans="1:6">
      <c r="A455" s="57">
        <v>7</v>
      </c>
      <c r="B455" s="78">
        <v>2024</v>
      </c>
      <c r="C455" s="79" t="s">
        <v>30</v>
      </c>
      <c r="D455" s="79">
        <v>-214.82</v>
      </c>
      <c r="E455" s="79">
        <v>9.0000000000003397E-2</v>
      </c>
      <c r="F455" s="79">
        <v>9.0000000000003411E-2</v>
      </c>
    </row>
    <row r="456" spans="1:6">
      <c r="A456" s="57">
        <v>8</v>
      </c>
      <c r="B456" s="78">
        <v>2024</v>
      </c>
      <c r="C456" s="79" t="s">
        <v>30</v>
      </c>
      <c r="D456" s="79">
        <v>-214.82</v>
      </c>
      <c r="E456" s="79">
        <v>9.0000000000003397E-2</v>
      </c>
      <c r="F456" s="79">
        <v>9.0000000000003411E-2</v>
      </c>
    </row>
    <row r="457" spans="1:6">
      <c r="A457" s="57">
        <v>9</v>
      </c>
      <c r="B457" s="78">
        <v>2024</v>
      </c>
      <c r="C457" s="79" t="s">
        <v>30</v>
      </c>
      <c r="D457" s="79">
        <v>-214.82</v>
      </c>
      <c r="E457" s="79">
        <v>9.0000000000003397E-2</v>
      </c>
      <c r="F457" s="79">
        <v>9.0000000000003411E-2</v>
      </c>
    </row>
    <row r="458" spans="1:6">
      <c r="A458" s="57">
        <v>10</v>
      </c>
      <c r="B458" s="78">
        <v>2024</v>
      </c>
      <c r="C458" s="79" t="s">
        <v>30</v>
      </c>
      <c r="D458" s="79">
        <v>-214.82</v>
      </c>
      <c r="E458" s="79">
        <v>9.0000000000003397E-2</v>
      </c>
      <c r="F458" s="79">
        <v>9.0000000000003411E-2</v>
      </c>
    </row>
    <row r="459" spans="1:6">
      <c r="A459" s="57">
        <v>11</v>
      </c>
      <c r="B459" s="78">
        <v>2024</v>
      </c>
      <c r="C459" s="79" t="s">
        <v>30</v>
      </c>
      <c r="D459" s="79">
        <v>-214.82</v>
      </c>
      <c r="E459" s="79">
        <v>9.0000000000003397E-2</v>
      </c>
      <c r="F459" s="79">
        <v>9.0000000000003411E-2</v>
      </c>
    </row>
    <row r="460" spans="1:6">
      <c r="A460" s="57">
        <v>12</v>
      </c>
      <c r="B460" s="78">
        <v>2024</v>
      </c>
      <c r="C460" s="79" t="s">
        <v>30</v>
      </c>
      <c r="D460" s="79">
        <v>-214.82</v>
      </c>
      <c r="E460" s="79">
        <v>9.0000000000003397E-2</v>
      </c>
      <c r="F460" s="79">
        <v>9.0000000000003411E-2</v>
      </c>
    </row>
    <row r="461" spans="1:6">
      <c r="A461" s="57">
        <v>1</v>
      </c>
      <c r="B461" s="78">
        <v>2025</v>
      </c>
      <c r="C461" s="79" t="s">
        <v>30</v>
      </c>
      <c r="D461" s="79">
        <v>-214.82</v>
      </c>
      <c r="E461" s="79">
        <v>9.0000000000003397E-2</v>
      </c>
      <c r="F461" s="79">
        <v>9.0000000000003411E-2</v>
      </c>
    </row>
    <row r="462" spans="1:6">
      <c r="A462" s="57">
        <v>2</v>
      </c>
      <c r="B462" s="78">
        <v>2025</v>
      </c>
      <c r="C462" s="79" t="s">
        <v>30</v>
      </c>
      <c r="D462" s="79">
        <v>-214.82</v>
      </c>
      <c r="E462" s="79">
        <v>9.0000000000003397E-2</v>
      </c>
      <c r="F462" s="79">
        <v>9.0000000000003411E-2</v>
      </c>
    </row>
    <row r="463" spans="1:6">
      <c r="A463" s="57">
        <v>3</v>
      </c>
      <c r="B463" s="78">
        <v>2025</v>
      </c>
      <c r="C463" s="79" t="s">
        <v>30</v>
      </c>
      <c r="D463" s="79">
        <v>-230.84</v>
      </c>
      <c r="E463" s="79">
        <v>9.0000000000003397E-2</v>
      </c>
      <c r="F463" s="79">
        <v>-15.930000000000009</v>
      </c>
    </row>
    <row r="464" spans="1:6">
      <c r="A464" s="57">
        <v>4</v>
      </c>
      <c r="B464" s="78">
        <v>2025</v>
      </c>
      <c r="C464" s="79" t="s">
        <v>30</v>
      </c>
      <c r="D464" s="79">
        <v>-230.75</v>
      </c>
      <c r="E464" s="79">
        <v>-15.93</v>
      </c>
      <c r="F464" s="79">
        <v>-15.930000000000009</v>
      </c>
    </row>
    <row r="465" spans="1:6">
      <c r="A465" s="57">
        <v>5</v>
      </c>
      <c r="B465" s="78">
        <v>2025</v>
      </c>
      <c r="C465" s="79" t="s">
        <v>30</v>
      </c>
      <c r="D465" s="79">
        <v>-214.82</v>
      </c>
      <c r="E465" s="79">
        <v>-15.93</v>
      </c>
      <c r="F465" s="79">
        <v>0</v>
      </c>
    </row>
    <row r="466" spans="1:6">
      <c r="A466" s="57">
        <v>6</v>
      </c>
      <c r="B466" s="78">
        <v>2025</v>
      </c>
      <c r="C466" s="79" t="s">
        <v>30</v>
      </c>
      <c r="D466" s="79">
        <v>-230.75</v>
      </c>
      <c r="E466" s="79">
        <v>0</v>
      </c>
      <c r="F466" s="79">
        <v>0</v>
      </c>
    </row>
    <row r="467" spans="1:6">
      <c r="A467" s="57">
        <v>7</v>
      </c>
      <c r="B467" s="78">
        <v>2025</v>
      </c>
      <c r="C467" s="79" t="s">
        <v>30</v>
      </c>
      <c r="D467" s="79">
        <v>-230.75</v>
      </c>
      <c r="E467" s="79">
        <v>0</v>
      </c>
      <c r="F467" s="79">
        <v>0</v>
      </c>
    </row>
    <row r="468" spans="1:6">
      <c r="A468" s="57">
        <v>8</v>
      </c>
      <c r="B468" s="78">
        <v>2025</v>
      </c>
      <c r="C468" s="79" t="s">
        <v>30</v>
      </c>
      <c r="D468" s="79">
        <v>-230.75</v>
      </c>
      <c r="E468" s="79">
        <v>0</v>
      </c>
      <c r="F468" s="79">
        <v>0</v>
      </c>
    </row>
    <row r="469" spans="1:6">
      <c r="A469" s="57">
        <v>9</v>
      </c>
      <c r="B469" s="78">
        <v>2025</v>
      </c>
      <c r="C469" s="79" t="s">
        <v>30</v>
      </c>
      <c r="D469" s="79">
        <v>-230.75</v>
      </c>
      <c r="E469" s="79">
        <v>0</v>
      </c>
      <c r="F469" s="79">
        <v>0</v>
      </c>
    </row>
    <row r="470" spans="1:6">
      <c r="A470" s="57">
        <v>10</v>
      </c>
      <c r="B470" s="78">
        <v>2025</v>
      </c>
      <c r="C470" s="79" t="s">
        <v>30</v>
      </c>
      <c r="D470" s="79">
        <v>-230.75</v>
      </c>
      <c r="E470" s="79">
        <v>0</v>
      </c>
      <c r="F470" s="79">
        <v>0</v>
      </c>
    </row>
    <row r="471" spans="1:6">
      <c r="A471" s="57">
        <v>11</v>
      </c>
      <c r="B471" s="78">
        <v>2025</v>
      </c>
      <c r="C471" s="79" t="s">
        <v>30</v>
      </c>
      <c r="D471" s="79">
        <v>-230.75</v>
      </c>
      <c r="E471" s="79">
        <v>0</v>
      </c>
      <c r="F471" s="79">
        <v>0</v>
      </c>
    </row>
    <row r="472" spans="1:6">
      <c r="A472" s="57">
        <v>12</v>
      </c>
      <c r="B472" s="78">
        <v>2025</v>
      </c>
      <c r="C472" s="79" t="s">
        <v>30</v>
      </c>
      <c r="D472" s="79">
        <v>0</v>
      </c>
      <c r="E472" s="79">
        <v>0</v>
      </c>
      <c r="F472" s="79">
        <v>230.75</v>
      </c>
    </row>
    <row r="473" spans="1:6">
      <c r="A473" s="57">
        <v>1</v>
      </c>
      <c r="B473" s="78">
        <v>2024</v>
      </c>
      <c r="C473" s="79" t="s">
        <v>65</v>
      </c>
      <c r="D473" s="79">
        <v>0</v>
      </c>
      <c r="E473" s="79">
        <v>699</v>
      </c>
      <c r="F473" s="79">
        <v>699</v>
      </c>
    </row>
    <row r="474" spans="1:6">
      <c r="A474" s="57">
        <v>2</v>
      </c>
      <c r="B474" s="78">
        <v>2024</v>
      </c>
      <c r="C474" s="79" t="s">
        <v>65</v>
      </c>
      <c r="D474" s="79">
        <v>-98.55</v>
      </c>
      <c r="E474" s="79">
        <v>699</v>
      </c>
      <c r="F474" s="79">
        <v>900.45</v>
      </c>
    </row>
    <row r="475" spans="1:6">
      <c r="A475" s="57">
        <v>3</v>
      </c>
      <c r="B475" s="78">
        <v>2024</v>
      </c>
      <c r="C475" s="79" t="s">
        <v>65</v>
      </c>
      <c r="D475" s="79">
        <v>-65.510000000000005</v>
      </c>
      <c r="E475" s="79">
        <v>900.45</v>
      </c>
      <c r="F475" s="79">
        <v>1134.94</v>
      </c>
    </row>
    <row r="476" spans="1:6">
      <c r="A476" s="57">
        <v>4</v>
      </c>
      <c r="B476" s="78">
        <v>2024</v>
      </c>
      <c r="C476" s="79" t="s">
        <v>65</v>
      </c>
      <c r="D476" s="79">
        <v>-333.66999999999996</v>
      </c>
      <c r="E476" s="79">
        <v>1134.94</v>
      </c>
      <c r="F476" s="79">
        <v>1101.27</v>
      </c>
    </row>
    <row r="477" spans="1:6">
      <c r="A477" s="57">
        <v>5</v>
      </c>
      <c r="B477" s="78">
        <v>2024</v>
      </c>
      <c r="C477" s="79" t="s">
        <v>65</v>
      </c>
      <c r="D477" s="79">
        <v>0</v>
      </c>
      <c r="E477" s="79">
        <v>1101.27</v>
      </c>
      <c r="F477" s="79">
        <v>1401.27</v>
      </c>
    </row>
    <row r="478" spans="1:6">
      <c r="A478" s="57">
        <v>6</v>
      </c>
      <c r="B478" s="78">
        <v>2024</v>
      </c>
      <c r="C478" s="79" t="s">
        <v>65</v>
      </c>
      <c r="D478" s="79">
        <v>-70.19</v>
      </c>
      <c r="E478" s="79">
        <v>1401.27</v>
      </c>
      <c r="F478" s="79">
        <v>1631.08</v>
      </c>
    </row>
    <row r="479" spans="1:6">
      <c r="A479" s="57">
        <v>7</v>
      </c>
      <c r="B479" s="78">
        <v>2024</v>
      </c>
      <c r="C479" s="79" t="s">
        <v>65</v>
      </c>
      <c r="D479" s="79">
        <v>-1528.23</v>
      </c>
      <c r="E479" s="79">
        <v>1631.08</v>
      </c>
      <c r="F479" s="79">
        <v>402.84999999999991</v>
      </c>
    </row>
    <row r="480" spans="1:6">
      <c r="A480" s="57">
        <v>8</v>
      </c>
      <c r="B480" s="78">
        <v>2024</v>
      </c>
      <c r="C480" s="79" t="s">
        <v>65</v>
      </c>
      <c r="D480" s="79">
        <v>-529.52</v>
      </c>
      <c r="E480" s="79">
        <v>402.85</v>
      </c>
      <c r="F480" s="79">
        <v>173.33000000000004</v>
      </c>
    </row>
    <row r="481" spans="1:6">
      <c r="A481" s="57">
        <v>9</v>
      </c>
      <c r="B481" s="78">
        <v>2024</v>
      </c>
      <c r="C481" s="79" t="s">
        <v>65</v>
      </c>
      <c r="D481" s="79">
        <v>-9.4700000000000006</v>
      </c>
      <c r="E481" s="79">
        <v>173.33</v>
      </c>
      <c r="F481" s="79">
        <v>463.86</v>
      </c>
    </row>
    <row r="482" spans="1:6">
      <c r="A482" s="57">
        <v>10</v>
      </c>
      <c r="B482" s="78">
        <v>2024</v>
      </c>
      <c r="C482" s="79" t="s">
        <v>65</v>
      </c>
      <c r="D482" s="79">
        <v>-509.24</v>
      </c>
      <c r="E482" s="79">
        <v>463.86</v>
      </c>
      <c r="F482" s="79">
        <v>254.62</v>
      </c>
    </row>
    <row r="483" spans="1:6">
      <c r="A483" s="57">
        <v>11</v>
      </c>
      <c r="B483" s="78">
        <v>2024</v>
      </c>
      <c r="C483" s="79" t="s">
        <v>65</v>
      </c>
      <c r="D483" s="79">
        <v>-97.99</v>
      </c>
      <c r="E483" s="79">
        <v>254.62</v>
      </c>
      <c r="F483" s="79">
        <v>456.63</v>
      </c>
    </row>
    <row r="484" spans="1:6">
      <c r="A484" s="57">
        <v>12</v>
      </c>
      <c r="B484" s="78">
        <v>2024</v>
      </c>
      <c r="C484" s="79" t="s">
        <v>65</v>
      </c>
      <c r="D484" s="79">
        <v>-124.94</v>
      </c>
      <c r="E484" s="79">
        <v>456.63</v>
      </c>
      <c r="F484" s="79">
        <v>631.69000000000005</v>
      </c>
    </row>
    <row r="485" spans="1:6">
      <c r="A485" s="57">
        <v>1</v>
      </c>
      <c r="B485" s="78">
        <v>2025</v>
      </c>
      <c r="C485" s="79" t="s">
        <v>65</v>
      </c>
      <c r="D485" s="79">
        <v>0</v>
      </c>
      <c r="E485" s="79">
        <v>631.69000000000005</v>
      </c>
      <c r="F485" s="79">
        <v>931.69</v>
      </c>
    </row>
    <row r="486" spans="1:6">
      <c r="A486" s="57">
        <v>2</v>
      </c>
      <c r="B486" s="78">
        <v>2025</v>
      </c>
      <c r="C486" s="79" t="s">
        <v>65</v>
      </c>
      <c r="D486" s="79">
        <v>0</v>
      </c>
      <c r="E486" s="79">
        <v>931.69</v>
      </c>
      <c r="F486" s="79">
        <v>1231.69</v>
      </c>
    </row>
    <row r="487" spans="1:6">
      <c r="A487" s="57">
        <v>3</v>
      </c>
      <c r="B487" s="78">
        <v>2025</v>
      </c>
      <c r="C487" s="79" t="s">
        <v>65</v>
      </c>
      <c r="D487" s="79">
        <v>482.18000000000006</v>
      </c>
      <c r="E487" s="79">
        <v>1231.69</v>
      </c>
      <c r="F487" s="79">
        <v>2013.87</v>
      </c>
    </row>
    <row r="488" spans="1:6">
      <c r="A488" s="57">
        <v>4</v>
      </c>
      <c r="B488" s="78">
        <v>2025</v>
      </c>
      <c r="C488" s="79" t="s">
        <v>65</v>
      </c>
      <c r="D488" s="79">
        <v>-5133.3799999999992</v>
      </c>
      <c r="E488" s="79">
        <v>2013.87</v>
      </c>
      <c r="F488" s="79">
        <v>-2819.5099999999993</v>
      </c>
    </row>
    <row r="489" spans="1:6">
      <c r="A489" s="57">
        <v>5</v>
      </c>
      <c r="B489" s="78">
        <v>2025</v>
      </c>
      <c r="C489" s="79" t="s">
        <v>65</v>
      </c>
      <c r="D489" s="79">
        <v>2905.1900000000005</v>
      </c>
      <c r="E489" s="79">
        <v>-2819.51</v>
      </c>
      <c r="F489" s="79">
        <v>385.68000000000029</v>
      </c>
    </row>
    <row r="490" spans="1:6">
      <c r="A490" s="57">
        <v>6</v>
      </c>
      <c r="B490" s="78">
        <v>2025</v>
      </c>
      <c r="C490" s="79" t="s">
        <v>65</v>
      </c>
      <c r="D490" s="79">
        <v>994.37</v>
      </c>
      <c r="E490" s="79">
        <v>385.68</v>
      </c>
      <c r="F490" s="79">
        <v>1680.0500000000002</v>
      </c>
    </row>
    <row r="491" spans="1:6">
      <c r="A491" s="57">
        <v>7</v>
      </c>
      <c r="B491" s="78">
        <v>2025</v>
      </c>
      <c r="C491" s="79" t="s">
        <v>65</v>
      </c>
      <c r="D491" s="79">
        <v>-1211.92</v>
      </c>
      <c r="E491" s="79">
        <v>1680.05</v>
      </c>
      <c r="F491" s="79">
        <v>768.12999999999988</v>
      </c>
    </row>
    <row r="492" spans="1:6">
      <c r="A492" s="57">
        <v>8</v>
      </c>
      <c r="B492" s="78">
        <v>2025</v>
      </c>
      <c r="C492" s="79" t="s">
        <v>65</v>
      </c>
      <c r="D492" s="79">
        <v>-61.22</v>
      </c>
      <c r="E492" s="79">
        <v>768.13</v>
      </c>
      <c r="F492" s="79">
        <v>1006.91</v>
      </c>
    </row>
    <row r="493" spans="1:6">
      <c r="A493" s="57">
        <v>9</v>
      </c>
      <c r="B493" s="78">
        <v>2025</v>
      </c>
      <c r="C493" s="79" t="s">
        <v>65</v>
      </c>
      <c r="D493" s="79">
        <v>-668.35</v>
      </c>
      <c r="E493" s="79">
        <v>1006.91</v>
      </c>
      <c r="F493" s="79">
        <v>638.55999999999983</v>
      </c>
    </row>
    <row r="494" spans="1:6">
      <c r="A494" s="57">
        <v>10</v>
      </c>
      <c r="B494" s="78">
        <v>2025</v>
      </c>
      <c r="C494" s="79" t="s">
        <v>65</v>
      </c>
      <c r="D494" s="79">
        <v>0</v>
      </c>
      <c r="E494" s="79">
        <v>638.55999999999995</v>
      </c>
      <c r="F494" s="79">
        <v>938.56</v>
      </c>
    </row>
    <row r="495" spans="1:6">
      <c r="A495" s="57">
        <v>11</v>
      </c>
      <c r="B495" s="78">
        <v>2025</v>
      </c>
      <c r="C495" s="79" t="s">
        <v>65</v>
      </c>
      <c r="D495" s="79">
        <v>95.250000000000114</v>
      </c>
      <c r="E495" s="79">
        <v>938.56</v>
      </c>
      <c r="F495" s="79">
        <v>1333.81</v>
      </c>
    </row>
    <row r="496" spans="1:6">
      <c r="A496" s="57">
        <v>12</v>
      </c>
      <c r="B496" s="78">
        <v>2025</v>
      </c>
      <c r="C496" s="79" t="s">
        <v>65</v>
      </c>
      <c r="D496" s="79">
        <v>0</v>
      </c>
      <c r="E496" s="79">
        <v>1333.81</v>
      </c>
      <c r="F496" s="79">
        <v>1633.81</v>
      </c>
    </row>
    <row r="497" spans="1:6">
      <c r="A497" s="57">
        <v>1</v>
      </c>
      <c r="B497" s="78">
        <v>2024</v>
      </c>
      <c r="C497" s="79" t="s">
        <v>63</v>
      </c>
      <c r="D497" s="79">
        <v>0</v>
      </c>
      <c r="E497" s="79">
        <v>-50</v>
      </c>
      <c r="F497" s="79">
        <v>-50</v>
      </c>
    </row>
    <row r="498" spans="1:6">
      <c r="A498" s="57">
        <v>2</v>
      </c>
      <c r="B498" s="78">
        <v>2024</v>
      </c>
      <c r="C498" s="79" t="s">
        <v>63</v>
      </c>
      <c r="D498" s="79">
        <v>-111.08</v>
      </c>
      <c r="E498" s="79">
        <v>-50</v>
      </c>
      <c r="F498" s="79">
        <v>-61.08</v>
      </c>
    </row>
    <row r="499" spans="1:6">
      <c r="A499" s="57">
        <v>3</v>
      </c>
      <c r="B499" s="78">
        <v>2024</v>
      </c>
      <c r="C499" s="79" t="s">
        <v>63</v>
      </c>
      <c r="D499" s="79">
        <v>-113.19</v>
      </c>
      <c r="E499" s="79">
        <v>-61.08</v>
      </c>
      <c r="F499" s="79">
        <v>-74.27</v>
      </c>
    </row>
    <row r="500" spans="1:6">
      <c r="A500" s="57">
        <v>4</v>
      </c>
      <c r="B500" s="78">
        <v>2024</v>
      </c>
      <c r="C500" s="79" t="s">
        <v>63</v>
      </c>
      <c r="D500" s="79">
        <v>-25.730000000000004</v>
      </c>
      <c r="E500" s="79">
        <v>-74.27</v>
      </c>
      <c r="F500" s="79">
        <v>0</v>
      </c>
    </row>
    <row r="501" spans="1:6">
      <c r="A501" s="57">
        <v>5</v>
      </c>
      <c r="B501" s="78">
        <v>2024</v>
      </c>
      <c r="C501" s="79" t="s">
        <v>63</v>
      </c>
      <c r="D501" s="79">
        <v>-91.2</v>
      </c>
      <c r="E501" s="79">
        <v>0</v>
      </c>
      <c r="F501" s="79">
        <v>8.7999999999999972</v>
      </c>
    </row>
    <row r="502" spans="1:6">
      <c r="A502" s="57">
        <v>6</v>
      </c>
      <c r="B502" s="78">
        <v>2024</v>
      </c>
      <c r="C502" s="79" t="s">
        <v>63</v>
      </c>
      <c r="D502" s="79">
        <v>-118.66</v>
      </c>
      <c r="E502" s="79">
        <v>8.8000000000000007</v>
      </c>
      <c r="F502" s="79">
        <v>-9.86</v>
      </c>
    </row>
    <row r="503" spans="1:6">
      <c r="A503" s="57">
        <v>7</v>
      </c>
      <c r="B503" s="78">
        <v>2024</v>
      </c>
      <c r="C503" s="79" t="s">
        <v>63</v>
      </c>
      <c r="D503" s="79">
        <v>-70.959999999999994</v>
      </c>
      <c r="E503" s="79">
        <v>-9.86</v>
      </c>
      <c r="F503" s="79">
        <v>19.180000000000007</v>
      </c>
    </row>
    <row r="504" spans="1:6">
      <c r="A504" s="57">
        <v>8</v>
      </c>
      <c r="B504" s="78">
        <v>2024</v>
      </c>
      <c r="C504" s="79" t="s">
        <v>63</v>
      </c>
      <c r="D504" s="79">
        <v>-80.989999999999995</v>
      </c>
      <c r="E504" s="79">
        <v>19.18</v>
      </c>
      <c r="F504" s="79">
        <v>38.190000000000012</v>
      </c>
    </row>
    <row r="505" spans="1:6">
      <c r="A505" s="57">
        <v>9</v>
      </c>
      <c r="B505" s="78">
        <v>2024</v>
      </c>
      <c r="C505" s="79" t="s">
        <v>63</v>
      </c>
      <c r="D505" s="79">
        <v>-120.35</v>
      </c>
      <c r="E505" s="79">
        <v>38.19</v>
      </c>
      <c r="F505" s="79">
        <v>17.840000000000003</v>
      </c>
    </row>
    <row r="506" spans="1:6">
      <c r="A506" s="57">
        <v>10</v>
      </c>
      <c r="B506" s="78">
        <v>2024</v>
      </c>
      <c r="C506" s="79" t="s">
        <v>63</v>
      </c>
      <c r="D506" s="79">
        <v>-108.92</v>
      </c>
      <c r="E506" s="79">
        <v>17.84</v>
      </c>
      <c r="F506" s="79">
        <v>8.9200000000000017</v>
      </c>
    </row>
    <row r="507" spans="1:6">
      <c r="A507" s="57">
        <v>11</v>
      </c>
      <c r="B507" s="78">
        <v>2024</v>
      </c>
      <c r="C507" s="79" t="s">
        <v>63</v>
      </c>
      <c r="D507" s="79">
        <v>-103.34</v>
      </c>
      <c r="E507" s="79">
        <v>8.92</v>
      </c>
      <c r="F507" s="79">
        <v>5.5799999999999983</v>
      </c>
    </row>
    <row r="508" spans="1:6">
      <c r="A508" s="57">
        <v>12</v>
      </c>
      <c r="B508" s="78">
        <v>2024</v>
      </c>
      <c r="C508" s="79" t="s">
        <v>63</v>
      </c>
      <c r="D508" s="79">
        <v>-99.08</v>
      </c>
      <c r="E508" s="79">
        <v>5.58</v>
      </c>
      <c r="F508" s="79">
        <v>6.5</v>
      </c>
    </row>
    <row r="509" spans="1:6">
      <c r="A509" s="57">
        <v>1</v>
      </c>
      <c r="B509" s="78">
        <v>2025</v>
      </c>
      <c r="C509" s="79" t="s">
        <v>63</v>
      </c>
      <c r="D509" s="79">
        <v>-99.03</v>
      </c>
      <c r="E509" s="79">
        <v>6.5</v>
      </c>
      <c r="F509" s="79">
        <v>7.4699999999999989</v>
      </c>
    </row>
    <row r="510" spans="1:6">
      <c r="A510" s="57">
        <v>2</v>
      </c>
      <c r="B510" s="78">
        <v>2025</v>
      </c>
      <c r="C510" s="79" t="s">
        <v>63</v>
      </c>
      <c r="D510" s="79">
        <v>-104.57</v>
      </c>
      <c r="E510" s="79">
        <v>7.47</v>
      </c>
      <c r="F510" s="79">
        <v>2.9000000000000057</v>
      </c>
    </row>
    <row r="511" spans="1:6">
      <c r="A511" s="57">
        <v>3</v>
      </c>
      <c r="B511" s="78">
        <v>2025</v>
      </c>
      <c r="C511" s="79" t="s">
        <v>63</v>
      </c>
      <c r="D511" s="79">
        <v>-95.86</v>
      </c>
      <c r="E511" s="79">
        <v>2.9000000000000101</v>
      </c>
      <c r="F511" s="79">
        <v>7.0400000000000063</v>
      </c>
    </row>
    <row r="512" spans="1:6">
      <c r="A512" s="57">
        <v>4</v>
      </c>
      <c r="B512" s="78">
        <v>2025</v>
      </c>
      <c r="C512" s="79" t="s">
        <v>63</v>
      </c>
      <c r="D512" s="79">
        <v>-94.57</v>
      </c>
      <c r="E512" s="79">
        <v>7.0400000000000098</v>
      </c>
      <c r="F512" s="79">
        <v>12.470000000000011</v>
      </c>
    </row>
    <row r="513" spans="1:6">
      <c r="A513" s="57">
        <v>5</v>
      </c>
      <c r="B513" s="78">
        <v>2025</v>
      </c>
      <c r="C513" s="79" t="s">
        <v>63</v>
      </c>
      <c r="D513" s="79">
        <v>-93.15</v>
      </c>
      <c r="E513" s="79">
        <v>12.47</v>
      </c>
      <c r="F513" s="79">
        <v>19.319999999999993</v>
      </c>
    </row>
    <row r="514" spans="1:6">
      <c r="A514" s="57">
        <v>6</v>
      </c>
      <c r="B514" s="78">
        <v>2025</v>
      </c>
      <c r="C514" s="79" t="s">
        <v>63</v>
      </c>
      <c r="D514" s="79">
        <v>-100.8</v>
      </c>
      <c r="E514" s="79">
        <v>19.32</v>
      </c>
      <c r="F514" s="79">
        <v>18.519999999999996</v>
      </c>
    </row>
    <row r="515" spans="1:6">
      <c r="A515" s="57">
        <v>7</v>
      </c>
      <c r="B515" s="78">
        <v>2025</v>
      </c>
      <c r="C515" s="79" t="s">
        <v>63</v>
      </c>
      <c r="D515" s="79">
        <v>-97.14</v>
      </c>
      <c r="E515" s="79">
        <v>18.52</v>
      </c>
      <c r="F515" s="79">
        <v>21.379999999999995</v>
      </c>
    </row>
    <row r="516" spans="1:6">
      <c r="A516" s="57">
        <v>8</v>
      </c>
      <c r="B516" s="78">
        <v>2025</v>
      </c>
      <c r="C516" s="79" t="s">
        <v>63</v>
      </c>
      <c r="D516" s="79">
        <v>-97.95</v>
      </c>
      <c r="E516" s="79">
        <v>21.38</v>
      </c>
      <c r="F516" s="79">
        <v>23.429999999999993</v>
      </c>
    </row>
    <row r="517" spans="1:6">
      <c r="A517" s="57">
        <v>9</v>
      </c>
      <c r="B517" s="78">
        <v>2025</v>
      </c>
      <c r="C517" s="79" t="s">
        <v>63</v>
      </c>
      <c r="D517" s="79">
        <v>-112.7</v>
      </c>
      <c r="E517" s="79">
        <v>23.43</v>
      </c>
      <c r="F517" s="79">
        <v>10.730000000000004</v>
      </c>
    </row>
    <row r="518" spans="1:6">
      <c r="A518" s="57">
        <v>10</v>
      </c>
      <c r="B518" s="78">
        <v>2025</v>
      </c>
      <c r="C518" s="79" t="s">
        <v>63</v>
      </c>
      <c r="D518" s="79">
        <v>-98.68</v>
      </c>
      <c r="E518" s="79">
        <v>10.73</v>
      </c>
      <c r="F518" s="79">
        <v>12.049999999999997</v>
      </c>
    </row>
    <row r="519" spans="1:6">
      <c r="A519" s="57">
        <v>11</v>
      </c>
      <c r="B519" s="78">
        <v>2025</v>
      </c>
      <c r="C519" s="79" t="s">
        <v>63</v>
      </c>
      <c r="D519" s="79">
        <v>-98.65</v>
      </c>
      <c r="E519" s="79">
        <v>12.05</v>
      </c>
      <c r="F519" s="79">
        <v>13.399999999999991</v>
      </c>
    </row>
    <row r="520" spans="1:6">
      <c r="A520" s="57">
        <v>12</v>
      </c>
      <c r="B520" s="78">
        <v>2025</v>
      </c>
      <c r="C520" s="79" t="s">
        <v>63</v>
      </c>
      <c r="D520" s="79">
        <v>0</v>
      </c>
      <c r="E520" s="79">
        <v>13.4</v>
      </c>
      <c r="F520" s="79">
        <v>113.4</v>
      </c>
    </row>
    <row r="521" spans="1:6">
      <c r="A521" s="57">
        <v>1</v>
      </c>
      <c r="B521" s="78">
        <v>2024</v>
      </c>
      <c r="C521" s="79" t="s">
        <v>79</v>
      </c>
      <c r="D521" s="79">
        <v>0</v>
      </c>
      <c r="E521" s="79">
        <v>0</v>
      </c>
      <c r="F521" s="79">
        <v>0</v>
      </c>
    </row>
    <row r="522" spans="1:6">
      <c r="A522" s="57">
        <v>2</v>
      </c>
      <c r="B522" s="78">
        <v>2024</v>
      </c>
      <c r="C522" s="79" t="s">
        <v>79</v>
      </c>
      <c r="D522" s="79">
        <v>7610.29</v>
      </c>
      <c r="E522" s="79">
        <v>0</v>
      </c>
      <c r="F522" s="79">
        <v>7610.29</v>
      </c>
    </row>
    <row r="523" spans="1:6">
      <c r="A523" s="57">
        <v>3</v>
      </c>
      <c r="B523" s="78">
        <v>2024</v>
      </c>
      <c r="C523" s="79" t="s">
        <v>79</v>
      </c>
      <c r="D523" s="79">
        <v>6629.59</v>
      </c>
      <c r="E523" s="79">
        <v>7610.29</v>
      </c>
      <c r="F523" s="79">
        <v>14239.88</v>
      </c>
    </row>
    <row r="524" spans="1:6">
      <c r="A524" s="57">
        <v>4</v>
      </c>
      <c r="B524" s="78">
        <v>2024</v>
      </c>
      <c r="C524" s="79" t="s">
        <v>79</v>
      </c>
      <c r="D524" s="79">
        <v>8622.7500000000036</v>
      </c>
      <c r="E524" s="79">
        <v>14239.88</v>
      </c>
      <c r="F524" s="79">
        <v>22862.630000000005</v>
      </c>
    </row>
    <row r="525" spans="1:6">
      <c r="A525" s="57">
        <v>5</v>
      </c>
      <c r="B525" s="78">
        <v>2024</v>
      </c>
      <c r="C525" s="79" t="s">
        <v>79</v>
      </c>
      <c r="D525" s="79">
        <v>7108.24</v>
      </c>
      <c r="E525" s="79">
        <v>22862.63</v>
      </c>
      <c r="F525" s="79">
        <v>29970.870000000003</v>
      </c>
    </row>
    <row r="526" spans="1:6">
      <c r="A526" s="57">
        <v>6</v>
      </c>
      <c r="B526" s="78">
        <v>2024</v>
      </c>
      <c r="C526" s="79" t="s">
        <v>79</v>
      </c>
      <c r="D526" s="79">
        <v>6658.2399999999989</v>
      </c>
      <c r="E526" s="79">
        <v>29970.87</v>
      </c>
      <c r="F526" s="79">
        <v>36629.11</v>
      </c>
    </row>
    <row r="527" spans="1:6">
      <c r="A527" s="57">
        <v>7</v>
      </c>
      <c r="B527" s="78">
        <v>2024</v>
      </c>
      <c r="C527" s="79" t="s">
        <v>79</v>
      </c>
      <c r="D527" s="79">
        <v>5844.0499999999993</v>
      </c>
      <c r="E527" s="79">
        <v>36629.11</v>
      </c>
      <c r="F527" s="79">
        <v>42473.16</v>
      </c>
    </row>
    <row r="528" spans="1:6">
      <c r="A528" s="57">
        <v>8</v>
      </c>
      <c r="B528" s="78">
        <v>2024</v>
      </c>
      <c r="C528" s="79" t="s">
        <v>79</v>
      </c>
      <c r="D528" s="79">
        <v>8073.0299999999988</v>
      </c>
      <c r="E528" s="79">
        <v>42473.16</v>
      </c>
      <c r="F528" s="79">
        <v>50546.19</v>
      </c>
    </row>
    <row r="529" spans="1:6">
      <c r="A529" s="57">
        <v>9</v>
      </c>
      <c r="B529" s="78">
        <v>2024</v>
      </c>
      <c r="C529" s="79" t="s">
        <v>79</v>
      </c>
      <c r="D529" s="79">
        <v>6566.79</v>
      </c>
      <c r="E529" s="79">
        <v>50546.19</v>
      </c>
      <c r="F529" s="79">
        <v>57112.98</v>
      </c>
    </row>
    <row r="530" spans="1:6">
      <c r="A530" s="57">
        <v>10</v>
      </c>
      <c r="B530" s="78">
        <v>2024</v>
      </c>
      <c r="C530" s="79" t="s">
        <v>79</v>
      </c>
      <c r="D530" s="79">
        <v>4985.26</v>
      </c>
      <c r="E530" s="79">
        <v>57112.98</v>
      </c>
      <c r="F530" s="79">
        <v>62098.240000000005</v>
      </c>
    </row>
    <row r="531" spans="1:6">
      <c r="A531" s="57">
        <v>11</v>
      </c>
      <c r="B531" s="78">
        <v>2024</v>
      </c>
      <c r="C531" s="79" t="s">
        <v>79</v>
      </c>
      <c r="D531" s="79">
        <v>4945.74</v>
      </c>
      <c r="E531" s="79">
        <v>62098.239999999998</v>
      </c>
      <c r="F531" s="79">
        <v>67043.98</v>
      </c>
    </row>
    <row r="532" spans="1:6">
      <c r="A532" s="57">
        <v>12</v>
      </c>
      <c r="B532" s="78">
        <v>2024</v>
      </c>
      <c r="C532" s="79" t="s">
        <v>79</v>
      </c>
      <c r="D532" s="79">
        <v>9155.83</v>
      </c>
      <c r="E532" s="79">
        <v>67043.98</v>
      </c>
      <c r="F532" s="79">
        <v>76199.81</v>
      </c>
    </row>
    <row r="533" spans="1:6">
      <c r="A533" s="57">
        <v>1</v>
      </c>
      <c r="B533" s="78">
        <v>2025</v>
      </c>
      <c r="C533" s="79" t="s">
        <v>79</v>
      </c>
      <c r="D533" s="79">
        <v>7141.170000000001</v>
      </c>
      <c r="E533" s="79">
        <v>76199.81</v>
      </c>
      <c r="F533" s="79">
        <v>83340.98</v>
      </c>
    </row>
    <row r="534" spans="1:6">
      <c r="A534" s="57">
        <v>2</v>
      </c>
      <c r="B534" s="78">
        <v>2025</v>
      </c>
      <c r="C534" s="79" t="s">
        <v>79</v>
      </c>
      <c r="D534" s="79">
        <v>7056.2200000000012</v>
      </c>
      <c r="E534" s="79">
        <v>83340.98</v>
      </c>
      <c r="F534" s="79">
        <v>90397.2</v>
      </c>
    </row>
    <row r="535" spans="1:6">
      <c r="A535" s="57">
        <v>3</v>
      </c>
      <c r="B535" s="78">
        <v>2025</v>
      </c>
      <c r="C535" s="79" t="s">
        <v>79</v>
      </c>
      <c r="D535" s="79">
        <v>7056.2199999999993</v>
      </c>
      <c r="E535" s="79">
        <v>90397.2</v>
      </c>
      <c r="F535" s="79">
        <v>97453.42</v>
      </c>
    </row>
    <row r="536" spans="1:6">
      <c r="A536" s="57">
        <v>4</v>
      </c>
      <c r="B536" s="78">
        <v>2025</v>
      </c>
      <c r="C536" s="79" t="s">
        <v>79</v>
      </c>
      <c r="D536" s="79">
        <v>7263.91</v>
      </c>
      <c r="E536" s="79">
        <v>97453.42</v>
      </c>
      <c r="F536" s="79">
        <v>104717.33</v>
      </c>
    </row>
    <row r="537" spans="1:6">
      <c r="A537" s="57">
        <v>5</v>
      </c>
      <c r="B537" s="78">
        <v>2025</v>
      </c>
      <c r="C537" s="79" t="s">
        <v>79</v>
      </c>
      <c r="D537" s="79">
        <v>7371.09</v>
      </c>
      <c r="E537" s="79">
        <v>104717.33</v>
      </c>
      <c r="F537" s="79">
        <v>112088.42</v>
      </c>
    </row>
    <row r="538" spans="1:6">
      <c r="A538" s="57">
        <v>6</v>
      </c>
      <c r="B538" s="78">
        <v>2025</v>
      </c>
      <c r="C538" s="79" t="s">
        <v>79</v>
      </c>
      <c r="D538" s="79">
        <v>7442.92</v>
      </c>
      <c r="E538" s="79">
        <v>112088.42</v>
      </c>
      <c r="F538" s="79">
        <v>119531.34</v>
      </c>
    </row>
    <row r="539" spans="1:6">
      <c r="A539" s="57">
        <v>7</v>
      </c>
      <c r="B539" s="78">
        <v>2025</v>
      </c>
      <c r="C539" s="79" t="s">
        <v>79</v>
      </c>
      <c r="D539" s="79">
        <v>11582.62</v>
      </c>
      <c r="E539" s="79">
        <v>119531.34</v>
      </c>
      <c r="F539" s="79">
        <v>131113.96</v>
      </c>
    </row>
    <row r="540" spans="1:6">
      <c r="A540" s="57">
        <v>8</v>
      </c>
      <c r="B540" s="78">
        <v>2025</v>
      </c>
      <c r="C540" s="79" t="s">
        <v>79</v>
      </c>
      <c r="D540" s="79">
        <v>7465.82</v>
      </c>
      <c r="E540" s="79">
        <v>131113.96</v>
      </c>
      <c r="F540" s="79">
        <v>138579.78</v>
      </c>
    </row>
    <row r="541" spans="1:6">
      <c r="A541" s="57">
        <v>9</v>
      </c>
      <c r="B541" s="78">
        <v>2025</v>
      </c>
      <c r="C541" s="79" t="s">
        <v>79</v>
      </c>
      <c r="D541" s="79">
        <v>6154.91</v>
      </c>
      <c r="E541" s="79">
        <v>138579.78</v>
      </c>
      <c r="F541" s="79">
        <v>144734.69</v>
      </c>
    </row>
    <row r="542" spans="1:6">
      <c r="A542" s="57">
        <v>10</v>
      </c>
      <c r="B542" s="78">
        <v>2025</v>
      </c>
      <c r="C542" s="79" t="s">
        <v>79</v>
      </c>
      <c r="D542" s="79">
        <v>7725.3799999999992</v>
      </c>
      <c r="E542" s="79">
        <v>144734.69</v>
      </c>
      <c r="F542" s="79">
        <v>152460.07</v>
      </c>
    </row>
    <row r="543" spans="1:6">
      <c r="A543" s="57">
        <v>11</v>
      </c>
      <c r="B543" s="78">
        <v>2025</v>
      </c>
      <c r="C543" s="79" t="s">
        <v>79</v>
      </c>
      <c r="D543" s="79">
        <v>7254.0699999999979</v>
      </c>
      <c r="E543" s="79">
        <v>152460.07</v>
      </c>
      <c r="F543" s="79">
        <v>159714.14000000001</v>
      </c>
    </row>
    <row r="544" spans="1:6">
      <c r="A544" s="57">
        <v>12</v>
      </c>
      <c r="B544" s="78">
        <v>2025</v>
      </c>
      <c r="C544" s="79" t="s">
        <v>79</v>
      </c>
      <c r="D544" s="79">
        <v>0</v>
      </c>
      <c r="E544" s="79">
        <v>159714.14000000001</v>
      </c>
      <c r="F544" s="79">
        <v>159714.14000000001</v>
      </c>
    </row>
    <row r="545" spans="1:6">
      <c r="A545" s="57">
        <v>1</v>
      </c>
      <c r="B545" s="78">
        <v>2024</v>
      </c>
      <c r="C545" s="79" t="s">
        <v>35</v>
      </c>
      <c r="D545" s="79">
        <v>0</v>
      </c>
      <c r="E545" s="79">
        <v>0</v>
      </c>
      <c r="F545" s="79">
        <v>0</v>
      </c>
    </row>
    <row r="546" spans="1:6">
      <c r="A546" s="57">
        <v>2</v>
      </c>
      <c r="B546" s="78">
        <v>2024</v>
      </c>
      <c r="C546" s="79" t="s">
        <v>35</v>
      </c>
      <c r="D546" s="79">
        <v>-84.75</v>
      </c>
      <c r="E546" s="79">
        <v>0</v>
      </c>
      <c r="F546" s="79">
        <v>0</v>
      </c>
    </row>
    <row r="547" spans="1:6">
      <c r="A547" s="57">
        <v>3</v>
      </c>
      <c r="B547" s="78">
        <v>2024</v>
      </c>
      <c r="C547" s="79" t="s">
        <v>35</v>
      </c>
      <c r="D547" s="79">
        <v>-84.75</v>
      </c>
      <c r="E547" s="79">
        <v>0</v>
      </c>
      <c r="F547" s="79">
        <v>0</v>
      </c>
    </row>
    <row r="548" spans="1:6">
      <c r="A548" s="57">
        <v>4</v>
      </c>
      <c r="B548" s="78">
        <v>2024</v>
      </c>
      <c r="C548" s="79" t="s">
        <v>35</v>
      </c>
      <c r="D548" s="79">
        <v>-97.62</v>
      </c>
      <c r="E548" s="79">
        <v>0</v>
      </c>
      <c r="F548" s="79">
        <v>-12.870000000000005</v>
      </c>
    </row>
    <row r="549" spans="1:6">
      <c r="A549" s="57">
        <v>5</v>
      </c>
      <c r="B549" s="78">
        <v>2024</v>
      </c>
      <c r="C549" s="79" t="s">
        <v>35</v>
      </c>
      <c r="D549" s="79">
        <v>-71.88</v>
      </c>
      <c r="E549" s="79">
        <v>-12.87</v>
      </c>
      <c r="F549" s="79">
        <v>0</v>
      </c>
    </row>
    <row r="550" spans="1:6">
      <c r="A550" s="57">
        <v>6</v>
      </c>
      <c r="B550" s="78">
        <v>2024</v>
      </c>
      <c r="C550" s="79" t="s">
        <v>35</v>
      </c>
      <c r="D550" s="79">
        <v>-88.14</v>
      </c>
      <c r="E550" s="79">
        <v>0</v>
      </c>
      <c r="F550" s="79">
        <v>-3.390000000000001</v>
      </c>
    </row>
    <row r="551" spans="1:6">
      <c r="A551" s="57">
        <v>7</v>
      </c>
      <c r="B551" s="78">
        <v>2024</v>
      </c>
      <c r="C551" s="79" t="s">
        <v>35</v>
      </c>
      <c r="D551" s="79">
        <v>-88.14</v>
      </c>
      <c r="E551" s="79">
        <v>-3.39</v>
      </c>
      <c r="F551" s="79">
        <v>-6.7800000000000011</v>
      </c>
    </row>
    <row r="552" spans="1:6">
      <c r="A552" s="57">
        <v>8</v>
      </c>
      <c r="B552" s="78">
        <v>2024</v>
      </c>
      <c r="C552" s="79" t="s">
        <v>35</v>
      </c>
      <c r="D552" s="79">
        <v>-88.14</v>
      </c>
      <c r="E552" s="79">
        <v>-6.78</v>
      </c>
      <c r="F552" s="79">
        <v>-10.170000000000002</v>
      </c>
    </row>
    <row r="553" spans="1:6">
      <c r="A553" s="57">
        <v>9</v>
      </c>
      <c r="B553" s="78">
        <v>2024</v>
      </c>
      <c r="C553" s="79" t="s">
        <v>35</v>
      </c>
      <c r="D553" s="79">
        <v>-74.58</v>
      </c>
      <c r="E553" s="79">
        <v>-10.17</v>
      </c>
      <c r="F553" s="79">
        <v>0</v>
      </c>
    </row>
    <row r="554" spans="1:6">
      <c r="A554" s="57">
        <v>10</v>
      </c>
      <c r="B554" s="78">
        <v>2024</v>
      </c>
      <c r="C554" s="79" t="s">
        <v>35</v>
      </c>
      <c r="D554" s="79">
        <v>-88.14</v>
      </c>
      <c r="E554" s="79">
        <v>0</v>
      </c>
      <c r="F554" s="79">
        <v>0</v>
      </c>
    </row>
    <row r="555" spans="1:6">
      <c r="A555" s="57">
        <v>11</v>
      </c>
      <c r="B555" s="78">
        <v>2024</v>
      </c>
      <c r="C555" s="79" t="s">
        <v>35</v>
      </c>
      <c r="D555" s="79">
        <v>-88.14</v>
      </c>
      <c r="E555" s="79">
        <v>0</v>
      </c>
      <c r="F555" s="79">
        <v>0</v>
      </c>
    </row>
    <row r="556" spans="1:6">
      <c r="A556" s="57">
        <v>12</v>
      </c>
      <c r="B556" s="78">
        <v>2024</v>
      </c>
      <c r="C556" s="79" t="s">
        <v>35</v>
      </c>
      <c r="D556" s="79">
        <v>-88.14</v>
      </c>
      <c r="E556" s="79">
        <v>0</v>
      </c>
      <c r="F556" s="79">
        <v>0</v>
      </c>
    </row>
    <row r="557" spans="1:6">
      <c r="A557" s="57">
        <v>1</v>
      </c>
      <c r="B557" s="78">
        <v>2025</v>
      </c>
      <c r="C557" s="79" t="s">
        <v>35</v>
      </c>
      <c r="D557" s="79">
        <v>-88.14</v>
      </c>
      <c r="E557" s="79">
        <v>0</v>
      </c>
      <c r="F557" s="79">
        <v>0</v>
      </c>
    </row>
    <row r="558" spans="1:6">
      <c r="A558" s="57">
        <v>2</v>
      </c>
      <c r="B558" s="78">
        <v>2025</v>
      </c>
      <c r="C558" s="79" t="s">
        <v>35</v>
      </c>
      <c r="D558" s="79">
        <v>-88.14</v>
      </c>
      <c r="E558" s="79">
        <v>0</v>
      </c>
      <c r="F558" s="79">
        <v>0</v>
      </c>
    </row>
    <row r="559" spans="1:6">
      <c r="A559" s="57">
        <v>3</v>
      </c>
      <c r="B559" s="78">
        <v>2025</v>
      </c>
      <c r="C559" s="79" t="s">
        <v>35</v>
      </c>
      <c r="D559" s="79">
        <v>-88.14</v>
      </c>
      <c r="E559" s="79">
        <v>0</v>
      </c>
      <c r="F559" s="79">
        <v>0</v>
      </c>
    </row>
    <row r="560" spans="1:6">
      <c r="A560" s="57">
        <v>4</v>
      </c>
      <c r="B560" s="78">
        <v>2025</v>
      </c>
      <c r="C560" s="79" t="s">
        <v>35</v>
      </c>
      <c r="D560" s="79">
        <v>-88.14</v>
      </c>
      <c r="E560" s="79">
        <v>0</v>
      </c>
      <c r="F560" s="79">
        <v>0</v>
      </c>
    </row>
    <row r="561" spans="1:6">
      <c r="A561" s="57">
        <v>5</v>
      </c>
      <c r="B561" s="78">
        <v>2025</v>
      </c>
      <c r="C561" s="79" t="s">
        <v>35</v>
      </c>
      <c r="D561" s="79">
        <v>-91.53</v>
      </c>
      <c r="E561" s="79">
        <v>0</v>
      </c>
      <c r="F561" s="79">
        <v>-3.390000000000001</v>
      </c>
    </row>
    <row r="562" spans="1:6">
      <c r="A562" s="57">
        <v>6</v>
      </c>
      <c r="B562" s="78">
        <v>2025</v>
      </c>
      <c r="C562" s="79" t="s">
        <v>35</v>
      </c>
      <c r="D562" s="79">
        <v>-91.53</v>
      </c>
      <c r="E562" s="79">
        <v>-3.39</v>
      </c>
      <c r="F562" s="79">
        <v>-3.390000000000001</v>
      </c>
    </row>
    <row r="563" spans="1:6">
      <c r="A563" s="57">
        <v>7</v>
      </c>
      <c r="B563" s="78">
        <v>2025</v>
      </c>
      <c r="C563" s="79" t="s">
        <v>35</v>
      </c>
      <c r="D563" s="79">
        <v>-84.75</v>
      </c>
      <c r="E563" s="79">
        <v>-3.39</v>
      </c>
      <c r="F563" s="79">
        <v>3.390000000000001</v>
      </c>
    </row>
    <row r="564" spans="1:6">
      <c r="A564" s="57">
        <v>8</v>
      </c>
      <c r="B564" s="78">
        <v>2025</v>
      </c>
      <c r="C564" s="79" t="s">
        <v>35</v>
      </c>
      <c r="D564" s="79">
        <v>-112.91</v>
      </c>
      <c r="E564" s="79">
        <v>3.39</v>
      </c>
      <c r="F564" s="79">
        <v>-17.989999999999995</v>
      </c>
    </row>
    <row r="565" spans="1:6">
      <c r="A565" s="57">
        <v>9</v>
      </c>
      <c r="B565" s="78">
        <v>2025</v>
      </c>
      <c r="C565" s="79" t="s">
        <v>35</v>
      </c>
      <c r="D565" s="79">
        <v>-62.13</v>
      </c>
      <c r="E565" s="79">
        <v>-17.989999999999998</v>
      </c>
      <c r="F565" s="79">
        <v>11.410000000000004</v>
      </c>
    </row>
    <row r="566" spans="1:6">
      <c r="A566" s="57">
        <v>10</v>
      </c>
      <c r="B566" s="78">
        <v>2025</v>
      </c>
      <c r="C566" s="79" t="s">
        <v>35</v>
      </c>
      <c r="D566" s="79">
        <v>-62.13</v>
      </c>
      <c r="E566" s="79">
        <v>11.41</v>
      </c>
      <c r="F566" s="79">
        <v>40.809999999999995</v>
      </c>
    </row>
    <row r="567" spans="1:6">
      <c r="A567" s="57">
        <v>11</v>
      </c>
      <c r="B567" s="78">
        <v>2025</v>
      </c>
      <c r="C567" s="79" t="s">
        <v>35</v>
      </c>
      <c r="D567" s="79">
        <v>-62.13</v>
      </c>
      <c r="E567" s="79">
        <v>40.81</v>
      </c>
      <c r="F567" s="79">
        <v>70.210000000000008</v>
      </c>
    </row>
    <row r="568" spans="1:6">
      <c r="A568" s="57">
        <v>12</v>
      </c>
      <c r="B568" s="78">
        <v>2025</v>
      </c>
      <c r="C568" s="79" t="s">
        <v>35</v>
      </c>
      <c r="D568" s="79">
        <v>0</v>
      </c>
      <c r="E568" s="79">
        <v>70.209999999999994</v>
      </c>
      <c r="F568" s="79">
        <v>161.74</v>
      </c>
    </row>
    <row r="569" spans="1:6">
      <c r="A569" s="57">
        <v>1</v>
      </c>
      <c r="B569" s="78">
        <v>2024</v>
      </c>
      <c r="C569" s="79" t="s">
        <v>64</v>
      </c>
      <c r="D569" s="79">
        <v>0</v>
      </c>
      <c r="E569" s="79">
        <v>8</v>
      </c>
      <c r="F569" s="79">
        <v>8</v>
      </c>
    </row>
    <row r="570" spans="1:6">
      <c r="A570" s="57">
        <v>2</v>
      </c>
      <c r="B570" s="78">
        <v>2024</v>
      </c>
      <c r="C570" s="79" t="s">
        <v>64</v>
      </c>
      <c r="D570" s="79">
        <v>-280</v>
      </c>
      <c r="E570" s="79">
        <v>8</v>
      </c>
      <c r="F570" s="79">
        <v>16</v>
      </c>
    </row>
    <row r="571" spans="1:6">
      <c r="A571" s="57">
        <v>3</v>
      </c>
      <c r="B571" s="78">
        <v>2024</v>
      </c>
      <c r="C571" s="79" t="s">
        <v>64</v>
      </c>
      <c r="D571" s="79">
        <v>-280</v>
      </c>
      <c r="E571" s="79">
        <v>16</v>
      </c>
      <c r="F571" s="79">
        <v>24</v>
      </c>
    </row>
    <row r="572" spans="1:6">
      <c r="A572" s="57">
        <v>4</v>
      </c>
      <c r="B572" s="78">
        <v>2024</v>
      </c>
      <c r="C572" s="79" t="s">
        <v>64</v>
      </c>
      <c r="D572" s="79">
        <v>-280</v>
      </c>
      <c r="E572" s="79">
        <v>24</v>
      </c>
      <c r="F572" s="79">
        <v>32</v>
      </c>
    </row>
    <row r="573" spans="1:6">
      <c r="A573" s="57">
        <v>5</v>
      </c>
      <c r="B573" s="78">
        <v>2024</v>
      </c>
      <c r="C573" s="79" t="s">
        <v>64</v>
      </c>
      <c r="D573" s="79">
        <v>-280</v>
      </c>
      <c r="E573" s="79">
        <v>32</v>
      </c>
      <c r="F573" s="79">
        <v>40</v>
      </c>
    </row>
    <row r="574" spans="1:6">
      <c r="A574" s="57">
        <v>6</v>
      </c>
      <c r="B574" s="78">
        <v>2024</v>
      </c>
      <c r="C574" s="79" t="s">
        <v>64</v>
      </c>
      <c r="D574" s="79">
        <v>-280</v>
      </c>
      <c r="E574" s="79">
        <v>40</v>
      </c>
      <c r="F574" s="79">
        <v>48</v>
      </c>
    </row>
    <row r="575" spans="1:6">
      <c r="A575" s="57">
        <v>7</v>
      </c>
      <c r="B575" s="78">
        <v>2024</v>
      </c>
      <c r="C575" s="79" t="s">
        <v>64</v>
      </c>
      <c r="D575" s="79">
        <v>-294</v>
      </c>
      <c r="E575" s="79">
        <v>48</v>
      </c>
      <c r="F575" s="79">
        <v>42</v>
      </c>
    </row>
    <row r="576" spans="1:6">
      <c r="A576" s="57">
        <v>8</v>
      </c>
      <c r="B576" s="78">
        <v>2024</v>
      </c>
      <c r="C576" s="79" t="s">
        <v>64</v>
      </c>
      <c r="D576" s="79">
        <v>-294</v>
      </c>
      <c r="E576" s="79">
        <v>42</v>
      </c>
      <c r="F576" s="79">
        <v>36</v>
      </c>
    </row>
    <row r="577" spans="1:6">
      <c r="A577" s="57">
        <v>9</v>
      </c>
      <c r="B577" s="78">
        <v>2024</v>
      </c>
      <c r="C577" s="79" t="s">
        <v>64</v>
      </c>
      <c r="D577" s="79">
        <v>-294</v>
      </c>
      <c r="E577" s="79">
        <v>36</v>
      </c>
      <c r="F577" s="79">
        <v>30</v>
      </c>
    </row>
    <row r="578" spans="1:6">
      <c r="A578" s="57">
        <v>10</v>
      </c>
      <c r="B578" s="78">
        <v>2024</v>
      </c>
      <c r="C578" s="79" t="s">
        <v>64</v>
      </c>
      <c r="D578" s="79">
        <v>-294</v>
      </c>
      <c r="E578" s="79">
        <v>30</v>
      </c>
      <c r="F578" s="79">
        <v>30</v>
      </c>
    </row>
    <row r="579" spans="1:6">
      <c r="A579" s="57">
        <v>11</v>
      </c>
      <c r="B579" s="78">
        <v>2024</v>
      </c>
      <c r="C579" s="79" t="s">
        <v>64</v>
      </c>
      <c r="D579" s="79">
        <v>-294</v>
      </c>
      <c r="E579" s="79">
        <v>30</v>
      </c>
      <c r="F579" s="79">
        <v>30</v>
      </c>
    </row>
    <row r="580" spans="1:6">
      <c r="A580" s="57">
        <v>12</v>
      </c>
      <c r="B580" s="78">
        <v>2024</v>
      </c>
      <c r="C580" s="79" t="s">
        <v>64</v>
      </c>
      <c r="D580" s="79">
        <v>-295.54000000000002</v>
      </c>
      <c r="E580" s="79">
        <v>30</v>
      </c>
      <c r="F580" s="79">
        <v>28.45999999999998</v>
      </c>
    </row>
    <row r="581" spans="1:6">
      <c r="A581" s="57">
        <v>1</v>
      </c>
      <c r="B581" s="78">
        <v>2025</v>
      </c>
      <c r="C581" s="79" t="s">
        <v>64</v>
      </c>
      <c r="D581" s="79">
        <v>-287</v>
      </c>
      <c r="E581" s="79">
        <v>28.46</v>
      </c>
      <c r="F581" s="79">
        <v>35.45999999999998</v>
      </c>
    </row>
    <row r="582" spans="1:6">
      <c r="A582" s="57">
        <v>2</v>
      </c>
      <c r="B582" s="78">
        <v>2025</v>
      </c>
      <c r="C582" s="79" t="s">
        <v>64</v>
      </c>
      <c r="D582" s="79">
        <v>-287</v>
      </c>
      <c r="E582" s="79">
        <v>35.46</v>
      </c>
      <c r="F582" s="79">
        <v>42.45999999999998</v>
      </c>
    </row>
    <row r="583" spans="1:6">
      <c r="A583" s="57">
        <v>3</v>
      </c>
      <c r="B583" s="78">
        <v>2025</v>
      </c>
      <c r="C583" s="79" t="s">
        <v>64</v>
      </c>
      <c r="D583" s="79">
        <v>-287</v>
      </c>
      <c r="E583" s="79">
        <v>42.46</v>
      </c>
      <c r="F583" s="79">
        <v>49.45999999999998</v>
      </c>
    </row>
    <row r="584" spans="1:6">
      <c r="A584" s="57">
        <v>4</v>
      </c>
      <c r="B584" s="78">
        <v>2025</v>
      </c>
      <c r="C584" s="79" t="s">
        <v>64</v>
      </c>
      <c r="D584" s="79">
        <v>-287</v>
      </c>
      <c r="E584" s="79">
        <v>49.46</v>
      </c>
      <c r="F584" s="79">
        <v>56.45999999999998</v>
      </c>
    </row>
    <row r="585" spans="1:6">
      <c r="A585" s="57">
        <v>5</v>
      </c>
      <c r="B585" s="78">
        <v>2025</v>
      </c>
      <c r="C585" s="79" t="s">
        <v>64</v>
      </c>
      <c r="D585" s="79">
        <v>-287</v>
      </c>
      <c r="E585" s="79">
        <v>56.46</v>
      </c>
      <c r="F585" s="79">
        <v>63.45999999999998</v>
      </c>
    </row>
    <row r="586" spans="1:6">
      <c r="A586" s="57">
        <v>6</v>
      </c>
      <c r="B586" s="78">
        <v>2025</v>
      </c>
      <c r="C586" s="79" t="s">
        <v>64</v>
      </c>
      <c r="D586" s="79">
        <v>-287</v>
      </c>
      <c r="E586" s="79">
        <v>63.46</v>
      </c>
      <c r="F586" s="79">
        <v>70.45999999999998</v>
      </c>
    </row>
    <row r="587" spans="1:6">
      <c r="A587" s="57">
        <v>7</v>
      </c>
      <c r="B587" s="78">
        <v>2025</v>
      </c>
      <c r="C587" s="79" t="s">
        <v>64</v>
      </c>
      <c r="D587" s="79">
        <v>-302</v>
      </c>
      <c r="E587" s="79">
        <v>70.459999999999994</v>
      </c>
      <c r="F587" s="79">
        <v>70.45999999999998</v>
      </c>
    </row>
    <row r="588" spans="1:6">
      <c r="A588" s="57">
        <v>8</v>
      </c>
      <c r="B588" s="78">
        <v>2025</v>
      </c>
      <c r="C588" s="79" t="s">
        <v>64</v>
      </c>
      <c r="D588" s="79">
        <v>-302</v>
      </c>
      <c r="E588" s="79">
        <v>70.459999999999994</v>
      </c>
      <c r="F588" s="79">
        <v>70.45999999999998</v>
      </c>
    </row>
    <row r="589" spans="1:6">
      <c r="A589" s="57">
        <v>9</v>
      </c>
      <c r="B589" s="78">
        <v>2025</v>
      </c>
      <c r="C589" s="79" t="s">
        <v>64</v>
      </c>
      <c r="D589" s="79">
        <v>-302</v>
      </c>
      <c r="E589" s="79">
        <v>70.459999999999994</v>
      </c>
      <c r="F589" s="79">
        <v>70.45999999999998</v>
      </c>
    </row>
    <row r="590" spans="1:6">
      <c r="A590" s="57">
        <v>10</v>
      </c>
      <c r="B590" s="78">
        <v>2025</v>
      </c>
      <c r="C590" s="79" t="s">
        <v>64</v>
      </c>
      <c r="D590" s="79">
        <v>-302</v>
      </c>
      <c r="E590" s="79">
        <v>70.459999999999994</v>
      </c>
      <c r="F590" s="79">
        <v>70.45999999999998</v>
      </c>
    </row>
    <row r="591" spans="1:6">
      <c r="A591" s="57">
        <v>11</v>
      </c>
      <c r="B591" s="78">
        <v>2025</v>
      </c>
      <c r="C591" s="79" t="s">
        <v>64</v>
      </c>
      <c r="D591" s="79">
        <v>-302</v>
      </c>
      <c r="E591" s="79">
        <v>70.459999999999994</v>
      </c>
      <c r="F591" s="79">
        <v>70.45999999999998</v>
      </c>
    </row>
    <row r="592" spans="1:6">
      <c r="A592" s="57">
        <v>12</v>
      </c>
      <c r="B592" s="78">
        <v>2025</v>
      </c>
      <c r="C592" s="79" t="s">
        <v>64</v>
      </c>
      <c r="D592" s="79">
        <v>0</v>
      </c>
      <c r="E592" s="79">
        <v>70.459999999999994</v>
      </c>
      <c r="F592" s="79">
        <v>372.46</v>
      </c>
    </row>
    <row r="593" spans="1:6">
      <c r="A593" s="57">
        <v>1</v>
      </c>
      <c r="B593" s="78">
        <v>2024</v>
      </c>
      <c r="C593" s="79" t="s">
        <v>46</v>
      </c>
      <c r="D593" s="79">
        <v>0</v>
      </c>
      <c r="E593" s="79">
        <v>0</v>
      </c>
      <c r="F593" s="79">
        <v>0</v>
      </c>
    </row>
    <row r="594" spans="1:6">
      <c r="A594" s="57">
        <v>2</v>
      </c>
      <c r="B594" s="78">
        <v>2024</v>
      </c>
      <c r="C594" s="79" t="s">
        <v>46</v>
      </c>
      <c r="D594" s="79">
        <v>-20</v>
      </c>
      <c r="E594" s="79">
        <v>0</v>
      </c>
      <c r="F594" s="79">
        <v>0</v>
      </c>
    </row>
    <row r="595" spans="1:6">
      <c r="A595" s="57">
        <v>3</v>
      </c>
      <c r="B595" s="78">
        <v>2024</v>
      </c>
      <c r="C595" s="79" t="s">
        <v>46</v>
      </c>
      <c r="D595" s="79">
        <v>-20</v>
      </c>
      <c r="E595" s="79">
        <v>0</v>
      </c>
      <c r="F595" s="79">
        <v>0</v>
      </c>
    </row>
    <row r="596" spans="1:6">
      <c r="A596" s="57">
        <v>4</v>
      </c>
      <c r="B596" s="78">
        <v>2024</v>
      </c>
      <c r="C596" s="79" t="s">
        <v>46</v>
      </c>
      <c r="D596" s="79">
        <v>-20</v>
      </c>
      <c r="E596" s="79">
        <v>0</v>
      </c>
      <c r="F596" s="79">
        <v>0</v>
      </c>
    </row>
    <row r="597" spans="1:6">
      <c r="A597" s="57">
        <v>5</v>
      </c>
      <c r="B597" s="78">
        <v>2024</v>
      </c>
      <c r="C597" s="79" t="s">
        <v>46</v>
      </c>
      <c r="D597" s="79">
        <v>0</v>
      </c>
      <c r="E597" s="79">
        <v>0</v>
      </c>
      <c r="F597" s="79">
        <v>20</v>
      </c>
    </row>
    <row r="598" spans="1:6">
      <c r="A598" s="57">
        <v>6</v>
      </c>
      <c r="B598" s="78">
        <v>2024</v>
      </c>
      <c r="C598" s="79" t="s">
        <v>46</v>
      </c>
      <c r="D598" s="79">
        <v>0</v>
      </c>
      <c r="E598" s="79">
        <v>20</v>
      </c>
      <c r="F598" s="79">
        <v>40</v>
      </c>
    </row>
    <row r="599" spans="1:6">
      <c r="A599" s="57">
        <v>7</v>
      </c>
      <c r="B599" s="78">
        <v>2024</v>
      </c>
      <c r="C599" s="79" t="s">
        <v>46</v>
      </c>
      <c r="D599" s="79">
        <v>-80</v>
      </c>
      <c r="E599" s="79">
        <v>40</v>
      </c>
      <c r="F599" s="79">
        <v>-20</v>
      </c>
    </row>
    <row r="600" spans="1:6">
      <c r="A600" s="57">
        <v>8</v>
      </c>
      <c r="B600" s="78">
        <v>2024</v>
      </c>
      <c r="C600" s="79" t="s">
        <v>46</v>
      </c>
      <c r="D600" s="79">
        <v>0</v>
      </c>
      <c r="E600" s="79">
        <v>-20</v>
      </c>
      <c r="F600" s="79">
        <v>0</v>
      </c>
    </row>
    <row r="601" spans="1:6">
      <c r="A601" s="57">
        <v>9</v>
      </c>
      <c r="B601" s="78">
        <v>2024</v>
      </c>
      <c r="C601" s="79" t="s">
        <v>46</v>
      </c>
      <c r="D601" s="79">
        <v>-20</v>
      </c>
      <c r="E601" s="79">
        <v>0</v>
      </c>
      <c r="F601" s="79">
        <v>0</v>
      </c>
    </row>
    <row r="602" spans="1:6">
      <c r="A602" s="57">
        <v>10</v>
      </c>
      <c r="B602" s="78">
        <v>2024</v>
      </c>
      <c r="C602" s="79" t="s">
        <v>46</v>
      </c>
      <c r="D602" s="79">
        <v>-20</v>
      </c>
      <c r="E602" s="79">
        <v>0</v>
      </c>
      <c r="F602" s="79">
        <v>0</v>
      </c>
    </row>
    <row r="603" spans="1:6">
      <c r="A603" s="57">
        <v>11</v>
      </c>
      <c r="B603" s="78">
        <v>2024</v>
      </c>
      <c r="C603" s="79" t="s">
        <v>46</v>
      </c>
      <c r="D603" s="79">
        <v>-20</v>
      </c>
      <c r="E603" s="79">
        <v>0</v>
      </c>
      <c r="F603" s="79">
        <v>0</v>
      </c>
    </row>
    <row r="604" spans="1:6">
      <c r="A604" s="57">
        <v>12</v>
      </c>
      <c r="B604" s="78">
        <v>2024</v>
      </c>
      <c r="C604" s="79" t="s">
        <v>46</v>
      </c>
      <c r="D604" s="79">
        <v>-20</v>
      </c>
      <c r="E604" s="79">
        <v>0</v>
      </c>
      <c r="F604" s="79">
        <v>0</v>
      </c>
    </row>
    <row r="605" spans="1:6">
      <c r="A605" s="57">
        <v>1</v>
      </c>
      <c r="B605" s="78">
        <v>2025</v>
      </c>
      <c r="C605" s="79" t="s">
        <v>46</v>
      </c>
      <c r="D605" s="79">
        <v>-20</v>
      </c>
      <c r="E605" s="79">
        <v>0</v>
      </c>
      <c r="F605" s="79">
        <v>0</v>
      </c>
    </row>
    <row r="606" spans="1:6">
      <c r="A606" s="57">
        <v>2</v>
      </c>
      <c r="B606" s="78">
        <v>2025</v>
      </c>
      <c r="C606" s="79" t="s">
        <v>46</v>
      </c>
      <c r="D606" s="79">
        <v>-20</v>
      </c>
      <c r="E606" s="79">
        <v>0</v>
      </c>
      <c r="F606" s="79">
        <v>0</v>
      </c>
    </row>
    <row r="607" spans="1:6">
      <c r="A607" s="57">
        <v>3</v>
      </c>
      <c r="B607" s="78">
        <v>2025</v>
      </c>
      <c r="C607" s="79" t="s">
        <v>46</v>
      </c>
      <c r="D607" s="79">
        <v>0</v>
      </c>
      <c r="E607" s="79">
        <v>0</v>
      </c>
      <c r="F607" s="79">
        <v>20</v>
      </c>
    </row>
    <row r="608" spans="1:6">
      <c r="A608" s="57">
        <v>4</v>
      </c>
      <c r="B608" s="78">
        <v>2025</v>
      </c>
      <c r="C608" s="79" t="s">
        <v>46</v>
      </c>
      <c r="D608" s="79">
        <v>-40</v>
      </c>
      <c r="E608" s="79">
        <v>20</v>
      </c>
      <c r="F608" s="79">
        <v>0</v>
      </c>
    </row>
    <row r="609" spans="1:6">
      <c r="A609" s="57">
        <v>5</v>
      </c>
      <c r="B609" s="78">
        <v>2025</v>
      </c>
      <c r="C609" s="79" t="s">
        <v>46</v>
      </c>
      <c r="D609" s="79">
        <v>-20</v>
      </c>
      <c r="E609" s="79">
        <v>0</v>
      </c>
      <c r="F609" s="79">
        <v>0</v>
      </c>
    </row>
    <row r="610" spans="1:6">
      <c r="A610" s="57">
        <v>6</v>
      </c>
      <c r="B610" s="78">
        <v>2025</v>
      </c>
      <c r="C610" s="79" t="s">
        <v>46</v>
      </c>
      <c r="D610" s="79">
        <v>-20</v>
      </c>
      <c r="E610" s="79">
        <v>0</v>
      </c>
      <c r="F610" s="79">
        <v>0</v>
      </c>
    </row>
    <row r="611" spans="1:6">
      <c r="A611" s="57">
        <v>7</v>
      </c>
      <c r="B611" s="78">
        <v>2025</v>
      </c>
      <c r="C611" s="79" t="s">
        <v>46</v>
      </c>
      <c r="D611" s="79">
        <v>-20</v>
      </c>
      <c r="E611" s="79">
        <v>0</v>
      </c>
      <c r="F611" s="79">
        <v>0</v>
      </c>
    </row>
    <row r="612" spans="1:6">
      <c r="A612" s="57">
        <v>8</v>
      </c>
      <c r="B612" s="78">
        <v>2025</v>
      </c>
      <c r="C612" s="79" t="s">
        <v>46</v>
      </c>
      <c r="D612" s="79">
        <v>0</v>
      </c>
      <c r="E612" s="79">
        <v>0</v>
      </c>
      <c r="F612" s="79">
        <v>20</v>
      </c>
    </row>
    <row r="613" spans="1:6">
      <c r="A613" s="57">
        <v>9</v>
      </c>
      <c r="B613" s="78">
        <v>2025</v>
      </c>
      <c r="C613" s="79" t="s">
        <v>46</v>
      </c>
      <c r="D613" s="79">
        <v>-20</v>
      </c>
      <c r="E613" s="79">
        <v>20</v>
      </c>
      <c r="F613" s="79">
        <v>20</v>
      </c>
    </row>
    <row r="614" spans="1:6">
      <c r="A614" s="57">
        <v>10</v>
      </c>
      <c r="B614" s="78">
        <v>2025</v>
      </c>
      <c r="C614" s="79" t="s">
        <v>46</v>
      </c>
      <c r="D614" s="79">
        <v>-40</v>
      </c>
      <c r="E614" s="79">
        <v>20</v>
      </c>
      <c r="F614" s="79">
        <v>0</v>
      </c>
    </row>
    <row r="615" spans="1:6">
      <c r="A615" s="57">
        <v>11</v>
      </c>
      <c r="B615" s="78">
        <v>2025</v>
      </c>
      <c r="C615" s="79" t="s">
        <v>46</v>
      </c>
      <c r="D615" s="79">
        <v>-20</v>
      </c>
      <c r="E615" s="79">
        <v>0</v>
      </c>
      <c r="F615" s="79">
        <v>0</v>
      </c>
    </row>
    <row r="616" spans="1:6">
      <c r="A616" s="57">
        <v>12</v>
      </c>
      <c r="B616" s="78">
        <v>2025</v>
      </c>
      <c r="C616" s="79" t="s">
        <v>46</v>
      </c>
      <c r="D616" s="79">
        <v>0</v>
      </c>
      <c r="E616" s="79">
        <v>0</v>
      </c>
      <c r="F616" s="79">
        <v>20</v>
      </c>
    </row>
    <row r="617" spans="1:6">
      <c r="A617" s="57">
        <v>1</v>
      </c>
      <c r="B617" s="78">
        <v>2024</v>
      </c>
      <c r="C617" s="79" t="s">
        <v>48</v>
      </c>
      <c r="D617" s="79">
        <v>0</v>
      </c>
      <c r="E617" s="79">
        <v>-26</v>
      </c>
      <c r="F617" s="79">
        <v>-26</v>
      </c>
    </row>
    <row r="618" spans="1:6">
      <c r="A618" s="57">
        <v>2</v>
      </c>
      <c r="B618" s="78">
        <v>2024</v>
      </c>
      <c r="C618" s="79" t="s">
        <v>48</v>
      </c>
      <c r="D618" s="79">
        <v>48.379999999999995</v>
      </c>
      <c r="E618" s="79">
        <v>-26</v>
      </c>
      <c r="F618" s="79">
        <v>32.379999999999995</v>
      </c>
    </row>
    <row r="619" spans="1:6">
      <c r="A619" s="57">
        <v>3</v>
      </c>
      <c r="B619" s="78">
        <v>2024</v>
      </c>
      <c r="C619" s="79" t="s">
        <v>48</v>
      </c>
      <c r="D619" s="79">
        <v>-8.99</v>
      </c>
      <c r="E619" s="79">
        <v>32.380000000000003</v>
      </c>
      <c r="F619" s="79">
        <v>33.39</v>
      </c>
    </row>
    <row r="620" spans="1:6">
      <c r="A620" s="57">
        <v>4</v>
      </c>
      <c r="B620" s="78">
        <v>2024</v>
      </c>
      <c r="C620" s="79" t="s">
        <v>48</v>
      </c>
      <c r="D620" s="79">
        <v>-8.42</v>
      </c>
      <c r="E620" s="79">
        <v>33.39</v>
      </c>
      <c r="F620" s="79">
        <v>34.97</v>
      </c>
    </row>
    <row r="621" spans="1:6">
      <c r="A621" s="57">
        <v>5</v>
      </c>
      <c r="B621" s="78">
        <v>2024</v>
      </c>
      <c r="C621" s="79" t="s">
        <v>48</v>
      </c>
      <c r="D621" s="79">
        <v>22.5</v>
      </c>
      <c r="E621" s="79">
        <v>34.97</v>
      </c>
      <c r="F621" s="79">
        <v>67.47</v>
      </c>
    </row>
    <row r="622" spans="1:6">
      <c r="A622" s="57">
        <v>6</v>
      </c>
      <c r="B622" s="78">
        <v>2024</v>
      </c>
      <c r="C622" s="79" t="s">
        <v>48</v>
      </c>
      <c r="D622" s="79">
        <v>-20.68</v>
      </c>
      <c r="E622" s="79">
        <v>67.47</v>
      </c>
      <c r="F622" s="79">
        <v>56.79</v>
      </c>
    </row>
    <row r="623" spans="1:6">
      <c r="A623" s="57">
        <v>7</v>
      </c>
      <c r="B623" s="78">
        <v>2024</v>
      </c>
      <c r="C623" s="79" t="s">
        <v>48</v>
      </c>
      <c r="D623" s="79">
        <v>-13.92</v>
      </c>
      <c r="E623" s="79">
        <v>56.79</v>
      </c>
      <c r="F623" s="79">
        <v>52.86999999999999</v>
      </c>
    </row>
    <row r="624" spans="1:6">
      <c r="A624" s="57">
        <v>8</v>
      </c>
      <c r="B624" s="78">
        <v>2024</v>
      </c>
      <c r="C624" s="79" t="s">
        <v>48</v>
      </c>
      <c r="D624" s="79">
        <v>-6.18</v>
      </c>
      <c r="E624" s="79">
        <v>52.87</v>
      </c>
      <c r="F624" s="79">
        <v>56.69</v>
      </c>
    </row>
    <row r="625" spans="1:6">
      <c r="A625" s="57">
        <v>9</v>
      </c>
      <c r="B625" s="78">
        <v>2024</v>
      </c>
      <c r="C625" s="79" t="s">
        <v>48</v>
      </c>
      <c r="D625" s="79">
        <v>-7.76</v>
      </c>
      <c r="E625" s="79">
        <v>56.69</v>
      </c>
      <c r="F625" s="79">
        <v>58.93</v>
      </c>
    </row>
    <row r="626" spans="1:6">
      <c r="A626" s="57">
        <v>10</v>
      </c>
      <c r="B626" s="78">
        <v>2024</v>
      </c>
      <c r="C626" s="79" t="s">
        <v>48</v>
      </c>
      <c r="D626" s="79">
        <v>-7.5</v>
      </c>
      <c r="E626" s="79">
        <v>58.93</v>
      </c>
      <c r="F626" s="79">
        <v>61.430000000000007</v>
      </c>
    </row>
    <row r="627" spans="1:6">
      <c r="A627" s="57">
        <v>11</v>
      </c>
      <c r="B627" s="78">
        <v>2024</v>
      </c>
      <c r="C627" s="79" t="s">
        <v>48</v>
      </c>
      <c r="D627" s="79">
        <v>-42.879999999999995</v>
      </c>
      <c r="E627" s="79">
        <v>61.43</v>
      </c>
      <c r="F627" s="79">
        <v>28.550000000000011</v>
      </c>
    </row>
    <row r="628" spans="1:6">
      <c r="A628" s="57">
        <v>12</v>
      </c>
      <c r="B628" s="78">
        <v>2024</v>
      </c>
      <c r="C628" s="79" t="s">
        <v>48</v>
      </c>
      <c r="D628" s="79">
        <v>-4.09</v>
      </c>
      <c r="E628" s="79">
        <v>28.55</v>
      </c>
      <c r="F628" s="79">
        <v>34.459999999999994</v>
      </c>
    </row>
    <row r="629" spans="1:6">
      <c r="A629" s="57">
        <v>1</v>
      </c>
      <c r="B629" s="78">
        <v>2025</v>
      </c>
      <c r="C629" s="79" t="s">
        <v>48</v>
      </c>
      <c r="D629" s="79">
        <v>-19.649999999999999</v>
      </c>
      <c r="E629" s="79">
        <v>34.46</v>
      </c>
      <c r="F629" s="79">
        <v>24.81</v>
      </c>
    </row>
    <row r="630" spans="1:6">
      <c r="A630" s="57">
        <v>2</v>
      </c>
      <c r="B630" s="78">
        <v>2025</v>
      </c>
      <c r="C630" s="79" t="s">
        <v>48</v>
      </c>
      <c r="D630" s="79">
        <v>-8.9</v>
      </c>
      <c r="E630" s="79">
        <v>24.81</v>
      </c>
      <c r="F630" s="79">
        <v>25.910000000000004</v>
      </c>
    </row>
    <row r="631" spans="1:6">
      <c r="A631" s="57">
        <v>3</v>
      </c>
      <c r="B631" s="78">
        <v>2025</v>
      </c>
      <c r="C631" s="79" t="s">
        <v>48</v>
      </c>
      <c r="D631" s="79">
        <v>-9.7100000000000009</v>
      </c>
      <c r="E631" s="79">
        <v>25.91</v>
      </c>
      <c r="F631" s="79">
        <v>26.199999999999996</v>
      </c>
    </row>
    <row r="632" spans="1:6">
      <c r="A632" s="57">
        <v>4</v>
      </c>
      <c r="B632" s="78">
        <v>2025</v>
      </c>
      <c r="C632" s="79" t="s">
        <v>48</v>
      </c>
      <c r="D632" s="79">
        <v>-7.28</v>
      </c>
      <c r="E632" s="79">
        <v>26.2</v>
      </c>
      <c r="F632" s="79">
        <v>28.92</v>
      </c>
    </row>
    <row r="633" spans="1:6">
      <c r="A633" s="57">
        <v>5</v>
      </c>
      <c r="B633" s="78">
        <v>2025</v>
      </c>
      <c r="C633" s="79" t="s">
        <v>48</v>
      </c>
      <c r="D633" s="79">
        <v>-10.11</v>
      </c>
      <c r="E633" s="79">
        <v>28.92</v>
      </c>
      <c r="F633" s="79">
        <v>28.81</v>
      </c>
    </row>
    <row r="634" spans="1:6">
      <c r="A634" s="57">
        <v>6</v>
      </c>
      <c r="B634" s="78">
        <v>2025</v>
      </c>
      <c r="C634" s="79" t="s">
        <v>48</v>
      </c>
      <c r="D634" s="79">
        <v>-16.45</v>
      </c>
      <c r="E634" s="79">
        <v>28.81</v>
      </c>
      <c r="F634" s="79">
        <v>22.360000000000003</v>
      </c>
    </row>
    <row r="635" spans="1:6">
      <c r="A635" s="57">
        <v>7</v>
      </c>
      <c r="B635" s="78">
        <v>2025</v>
      </c>
      <c r="C635" s="79" t="s">
        <v>48</v>
      </c>
      <c r="D635" s="79">
        <v>-8.76</v>
      </c>
      <c r="E635" s="79">
        <v>22.36</v>
      </c>
      <c r="F635" s="79">
        <v>23.6</v>
      </c>
    </row>
    <row r="636" spans="1:6">
      <c r="A636" s="57">
        <v>8</v>
      </c>
      <c r="B636" s="78">
        <v>2025</v>
      </c>
      <c r="C636" s="79" t="s">
        <v>48</v>
      </c>
      <c r="D636" s="79">
        <v>-13.77</v>
      </c>
      <c r="E636" s="79">
        <v>23.6</v>
      </c>
      <c r="F636" s="79">
        <v>19.829999999999998</v>
      </c>
    </row>
    <row r="637" spans="1:6">
      <c r="A637" s="57">
        <v>9</v>
      </c>
      <c r="B637" s="78">
        <v>2025</v>
      </c>
      <c r="C637" s="79" t="s">
        <v>48</v>
      </c>
      <c r="D637" s="79">
        <v>-3.46</v>
      </c>
      <c r="E637" s="79">
        <v>19.829999999999998</v>
      </c>
      <c r="F637" s="79">
        <v>26.369999999999997</v>
      </c>
    </row>
    <row r="638" spans="1:6">
      <c r="A638" s="57">
        <v>10</v>
      </c>
      <c r="B638" s="78">
        <v>2025</v>
      </c>
      <c r="C638" s="79" t="s">
        <v>48</v>
      </c>
      <c r="D638" s="79">
        <v>-2.83</v>
      </c>
      <c r="E638" s="79">
        <v>26.37</v>
      </c>
      <c r="F638" s="79">
        <v>33.540000000000006</v>
      </c>
    </row>
    <row r="639" spans="1:6">
      <c r="A639" s="57">
        <v>11</v>
      </c>
      <c r="B639" s="78">
        <v>2025</v>
      </c>
      <c r="C639" s="79" t="s">
        <v>48</v>
      </c>
      <c r="D639" s="79">
        <v>-44.03</v>
      </c>
      <c r="E639" s="79">
        <v>33.54</v>
      </c>
      <c r="F639" s="79">
        <v>-0.49000000000000199</v>
      </c>
    </row>
    <row r="640" spans="1:6">
      <c r="A640" s="57">
        <v>12</v>
      </c>
      <c r="B640" s="78">
        <v>2025</v>
      </c>
      <c r="C640" s="79" t="s">
        <v>48</v>
      </c>
      <c r="D640" s="79">
        <v>0</v>
      </c>
      <c r="E640" s="79">
        <v>-0.49000000000000199</v>
      </c>
      <c r="F640" s="79">
        <v>9.509999999999998</v>
      </c>
    </row>
    <row r="641" spans="1:6">
      <c r="A641" s="57">
        <v>1</v>
      </c>
      <c r="B641" s="78">
        <v>2024</v>
      </c>
      <c r="C641" s="79" t="s">
        <v>33</v>
      </c>
      <c r="D641" s="79">
        <v>0</v>
      </c>
      <c r="E641" s="79">
        <v>75</v>
      </c>
      <c r="F641" s="79">
        <v>75</v>
      </c>
    </row>
    <row r="642" spans="1:6">
      <c r="A642" s="57">
        <v>2</v>
      </c>
      <c r="B642" s="78">
        <v>2024</v>
      </c>
      <c r="C642" s="79" t="s">
        <v>33</v>
      </c>
      <c r="D642" s="79">
        <v>-886.5</v>
      </c>
      <c r="E642" s="79">
        <v>75</v>
      </c>
      <c r="F642" s="79">
        <v>148.875</v>
      </c>
    </row>
    <row r="643" spans="1:6">
      <c r="A643" s="57">
        <v>3</v>
      </c>
      <c r="B643" s="78">
        <v>2024</v>
      </c>
      <c r="C643" s="79" t="s">
        <v>33</v>
      </c>
      <c r="D643" s="79">
        <v>-886.5</v>
      </c>
      <c r="E643" s="79">
        <v>148.875</v>
      </c>
      <c r="F643" s="79">
        <v>222.75</v>
      </c>
    </row>
    <row r="644" spans="1:6">
      <c r="A644" s="57">
        <v>4</v>
      </c>
      <c r="B644" s="78">
        <v>2024</v>
      </c>
      <c r="C644" s="79" t="s">
        <v>33</v>
      </c>
      <c r="D644" s="79">
        <v>-886.5</v>
      </c>
      <c r="E644" s="79">
        <v>222.75</v>
      </c>
      <c r="F644" s="79">
        <v>296.625</v>
      </c>
    </row>
    <row r="645" spans="1:6">
      <c r="A645" s="57">
        <v>5</v>
      </c>
      <c r="B645" s="78">
        <v>2024</v>
      </c>
      <c r="C645" s="79" t="s">
        <v>33</v>
      </c>
      <c r="D645" s="79">
        <v>-886.5</v>
      </c>
      <c r="E645" s="79">
        <v>296.625</v>
      </c>
      <c r="F645" s="79">
        <v>370.5</v>
      </c>
    </row>
    <row r="646" spans="1:6">
      <c r="A646" s="57">
        <v>6</v>
      </c>
      <c r="B646" s="78">
        <v>2024</v>
      </c>
      <c r="C646" s="79" t="s">
        <v>33</v>
      </c>
      <c r="D646" s="79">
        <v>-886.5</v>
      </c>
      <c r="E646" s="79">
        <v>370.5</v>
      </c>
      <c r="F646" s="79">
        <v>444.375</v>
      </c>
    </row>
    <row r="647" spans="1:6">
      <c r="A647" s="57">
        <v>7</v>
      </c>
      <c r="B647" s="78">
        <v>2024</v>
      </c>
      <c r="C647" s="79" t="s">
        <v>33</v>
      </c>
      <c r="D647" s="79">
        <v>-886.5</v>
      </c>
      <c r="E647" s="79">
        <v>444.375</v>
      </c>
      <c r="F647" s="79">
        <v>518.25</v>
      </c>
    </row>
    <row r="648" spans="1:6">
      <c r="A648" s="57">
        <v>8</v>
      </c>
      <c r="B648" s="78">
        <v>2024</v>
      </c>
      <c r="C648" s="79" t="s">
        <v>33</v>
      </c>
      <c r="D648" s="79">
        <v>-886.5</v>
      </c>
      <c r="E648" s="79">
        <v>518.25</v>
      </c>
      <c r="F648" s="79">
        <v>592.125</v>
      </c>
    </row>
    <row r="649" spans="1:6">
      <c r="A649" s="57">
        <v>9</v>
      </c>
      <c r="B649" s="78">
        <v>2024</v>
      </c>
      <c r="C649" s="79" t="s">
        <v>33</v>
      </c>
      <c r="D649" s="79">
        <v>-886.5</v>
      </c>
      <c r="E649" s="79">
        <v>592.125</v>
      </c>
      <c r="F649" s="79">
        <v>666</v>
      </c>
    </row>
    <row r="650" spans="1:6">
      <c r="A650" s="57">
        <v>10</v>
      </c>
      <c r="B650" s="78">
        <v>2024</v>
      </c>
      <c r="C650" s="79" t="s">
        <v>33</v>
      </c>
      <c r="D650" s="79">
        <v>-1329.59</v>
      </c>
      <c r="E650" s="79">
        <v>666</v>
      </c>
      <c r="F650" s="79">
        <v>296.78500000000008</v>
      </c>
    </row>
    <row r="651" spans="1:6">
      <c r="A651" s="57">
        <v>11</v>
      </c>
      <c r="B651" s="78">
        <v>2024</v>
      </c>
      <c r="C651" s="79" t="s">
        <v>33</v>
      </c>
      <c r="D651" s="79">
        <v>-1329.75</v>
      </c>
      <c r="E651" s="79">
        <v>296.78500000000003</v>
      </c>
      <c r="F651" s="79">
        <v>-72.589999999999918</v>
      </c>
    </row>
    <row r="652" spans="1:6">
      <c r="A652" s="57">
        <v>12</v>
      </c>
      <c r="B652" s="78">
        <v>2024</v>
      </c>
      <c r="C652" s="79" t="s">
        <v>33</v>
      </c>
      <c r="D652" s="79">
        <v>-886.5</v>
      </c>
      <c r="E652" s="79">
        <v>-72.589999999999904</v>
      </c>
      <c r="F652" s="79">
        <v>1.2850000000000821</v>
      </c>
    </row>
    <row r="653" spans="1:6">
      <c r="A653" s="57">
        <v>1</v>
      </c>
      <c r="B653" s="78">
        <v>2025</v>
      </c>
      <c r="C653" s="79" t="s">
        <v>33</v>
      </c>
      <c r="D653" s="79">
        <v>-886.5</v>
      </c>
      <c r="E653" s="79">
        <v>1.2850000000000801</v>
      </c>
      <c r="F653" s="79">
        <v>75.160000000000082</v>
      </c>
    </row>
    <row r="654" spans="1:6">
      <c r="A654" s="57">
        <v>2</v>
      </c>
      <c r="B654" s="78">
        <v>2025</v>
      </c>
      <c r="C654" s="79" t="s">
        <v>33</v>
      </c>
      <c r="D654" s="79">
        <v>-886.5</v>
      </c>
      <c r="E654" s="79">
        <v>75.160000000000096</v>
      </c>
      <c r="F654" s="79">
        <v>149.03500000000008</v>
      </c>
    </row>
    <row r="655" spans="1:6">
      <c r="A655" s="57">
        <v>3</v>
      </c>
      <c r="B655" s="78">
        <v>2025</v>
      </c>
      <c r="C655" s="79" t="s">
        <v>33</v>
      </c>
      <c r="D655" s="79">
        <v>-886.5</v>
      </c>
      <c r="E655" s="79">
        <v>149.035</v>
      </c>
      <c r="F655" s="79">
        <v>222.91000000000008</v>
      </c>
    </row>
    <row r="656" spans="1:6">
      <c r="A656" s="57">
        <v>4</v>
      </c>
      <c r="B656" s="78">
        <v>2025</v>
      </c>
      <c r="C656" s="79" t="s">
        <v>33</v>
      </c>
      <c r="D656" s="79">
        <v>-886.5</v>
      </c>
      <c r="E656" s="79">
        <v>222.91</v>
      </c>
      <c r="F656" s="79">
        <v>296.78500000000008</v>
      </c>
    </row>
    <row r="657" spans="1:6">
      <c r="A657" s="57">
        <v>5</v>
      </c>
      <c r="B657" s="78">
        <v>2025</v>
      </c>
      <c r="C657" s="79" t="s">
        <v>33</v>
      </c>
      <c r="D657" s="79">
        <v>-1329.75</v>
      </c>
      <c r="E657" s="79">
        <v>296.78500000000003</v>
      </c>
      <c r="F657" s="79">
        <v>-72.589999999999918</v>
      </c>
    </row>
    <row r="658" spans="1:6">
      <c r="A658" s="57">
        <v>6</v>
      </c>
      <c r="B658" s="78">
        <v>2025</v>
      </c>
      <c r="C658" s="79" t="s">
        <v>33</v>
      </c>
      <c r="D658" s="79">
        <v>-886.5</v>
      </c>
      <c r="E658" s="79">
        <v>-72.589999999999904</v>
      </c>
      <c r="F658" s="79">
        <v>1.2850000000000821</v>
      </c>
    </row>
    <row r="659" spans="1:6">
      <c r="A659" s="57">
        <v>7</v>
      </c>
      <c r="B659" s="78">
        <v>2025</v>
      </c>
      <c r="C659" s="79" t="s">
        <v>33</v>
      </c>
      <c r="D659" s="79">
        <v>-886.5</v>
      </c>
      <c r="E659" s="79">
        <v>1.2850000000000801</v>
      </c>
      <c r="F659" s="79">
        <v>75.160000000000082</v>
      </c>
    </row>
    <row r="660" spans="1:6">
      <c r="A660" s="57">
        <v>8</v>
      </c>
      <c r="B660" s="78">
        <v>2025</v>
      </c>
      <c r="C660" s="79" t="s">
        <v>33</v>
      </c>
      <c r="D660" s="79">
        <v>-886.5</v>
      </c>
      <c r="E660" s="79">
        <v>75.160000000000096</v>
      </c>
      <c r="F660" s="79">
        <v>149.03500000000008</v>
      </c>
    </row>
    <row r="661" spans="1:6">
      <c r="A661" s="57">
        <v>9</v>
      </c>
      <c r="B661" s="78">
        <v>2025</v>
      </c>
      <c r="C661" s="79" t="s">
        <v>33</v>
      </c>
      <c r="D661" s="79">
        <v>-886.5</v>
      </c>
      <c r="E661" s="79">
        <v>149.035</v>
      </c>
      <c r="F661" s="79">
        <v>222.91000000000008</v>
      </c>
    </row>
    <row r="662" spans="1:6">
      <c r="A662" s="57">
        <v>10</v>
      </c>
      <c r="B662" s="78">
        <v>2025</v>
      </c>
      <c r="C662" s="79" t="s">
        <v>33</v>
      </c>
      <c r="D662" s="79">
        <v>-1329.75</v>
      </c>
      <c r="E662" s="79">
        <v>222.91</v>
      </c>
      <c r="F662" s="79">
        <v>-146.46499999999992</v>
      </c>
    </row>
    <row r="663" spans="1:6">
      <c r="A663" s="57">
        <v>11</v>
      </c>
      <c r="B663" s="78">
        <v>2025</v>
      </c>
      <c r="C663" s="79" t="s">
        <v>33</v>
      </c>
      <c r="D663" s="79">
        <v>-886.5</v>
      </c>
      <c r="E663" s="79">
        <v>-146.465</v>
      </c>
      <c r="F663" s="79">
        <v>-72.590000000000032</v>
      </c>
    </row>
    <row r="664" spans="1:6">
      <c r="A664" s="57">
        <v>12</v>
      </c>
      <c r="B664" s="78">
        <v>2025</v>
      </c>
      <c r="C664" s="79" t="s">
        <v>33</v>
      </c>
      <c r="D664" s="79">
        <v>0</v>
      </c>
      <c r="E664" s="79">
        <v>-72.59</v>
      </c>
      <c r="F664" s="79">
        <v>887.78499999999997</v>
      </c>
    </row>
    <row r="665" spans="1:6">
      <c r="A665" s="57">
        <v>1</v>
      </c>
      <c r="B665" s="78">
        <v>2024</v>
      </c>
      <c r="C665" s="79" t="s">
        <v>52</v>
      </c>
      <c r="D665" s="79">
        <v>0</v>
      </c>
      <c r="E665" s="79">
        <v>26</v>
      </c>
      <c r="F665" s="79">
        <v>26</v>
      </c>
    </row>
    <row r="666" spans="1:6">
      <c r="A666" s="57">
        <v>2</v>
      </c>
      <c r="B666" s="78">
        <v>2024</v>
      </c>
      <c r="C666" s="79" t="s">
        <v>52</v>
      </c>
      <c r="D666" s="79">
        <v>-29.31</v>
      </c>
      <c r="E666" s="79">
        <v>26</v>
      </c>
      <c r="F666" s="79">
        <v>71.69</v>
      </c>
    </row>
    <row r="667" spans="1:6">
      <c r="A667" s="57">
        <v>3</v>
      </c>
      <c r="B667" s="78">
        <v>2024</v>
      </c>
      <c r="C667" s="79" t="s">
        <v>52</v>
      </c>
      <c r="D667" s="79">
        <v>-73.36</v>
      </c>
      <c r="E667" s="79">
        <v>71.69</v>
      </c>
      <c r="F667" s="79">
        <v>73.33</v>
      </c>
    </row>
    <row r="668" spans="1:6">
      <c r="A668" s="57">
        <v>4</v>
      </c>
      <c r="B668" s="78">
        <v>2024</v>
      </c>
      <c r="C668" s="79" t="s">
        <v>52</v>
      </c>
      <c r="D668" s="79">
        <v>-126.28</v>
      </c>
      <c r="E668" s="79">
        <v>73.33</v>
      </c>
      <c r="F668" s="79">
        <v>22.049999999999983</v>
      </c>
    </row>
    <row r="669" spans="1:6">
      <c r="A669" s="57">
        <v>5</v>
      </c>
      <c r="B669" s="78">
        <v>2024</v>
      </c>
      <c r="C669" s="79" t="s">
        <v>52</v>
      </c>
      <c r="D669" s="79">
        <v>0</v>
      </c>
      <c r="E669" s="79">
        <v>22.05</v>
      </c>
      <c r="F669" s="79">
        <v>97.05</v>
      </c>
    </row>
    <row r="670" spans="1:6">
      <c r="A670" s="57">
        <v>6</v>
      </c>
      <c r="B670" s="78">
        <v>2024</v>
      </c>
      <c r="C670" s="79" t="s">
        <v>52</v>
      </c>
      <c r="D670" s="79">
        <v>-376.32</v>
      </c>
      <c r="E670" s="79">
        <v>97.05</v>
      </c>
      <c r="F670" s="79">
        <v>-204.27</v>
      </c>
    </row>
    <row r="671" spans="1:6">
      <c r="A671" s="57">
        <v>7</v>
      </c>
      <c r="B671" s="78">
        <v>2024</v>
      </c>
      <c r="C671" s="79" t="s">
        <v>52</v>
      </c>
      <c r="D671" s="79">
        <v>129.27000000000001</v>
      </c>
      <c r="E671" s="79">
        <v>-204.27</v>
      </c>
      <c r="F671" s="79">
        <v>0</v>
      </c>
    </row>
    <row r="672" spans="1:6">
      <c r="A672" s="57">
        <v>8</v>
      </c>
      <c r="B672" s="78">
        <v>2024</v>
      </c>
      <c r="C672" s="79" t="s">
        <v>52</v>
      </c>
      <c r="D672" s="79">
        <v>0</v>
      </c>
      <c r="E672" s="79">
        <v>0</v>
      </c>
      <c r="F672" s="79">
        <v>100</v>
      </c>
    </row>
    <row r="673" spans="1:6">
      <c r="A673" s="57">
        <v>9</v>
      </c>
      <c r="B673" s="78">
        <v>2024</v>
      </c>
      <c r="C673" s="79" t="s">
        <v>52</v>
      </c>
      <c r="D673" s="79">
        <v>-117.52</v>
      </c>
      <c r="E673" s="79">
        <v>100</v>
      </c>
      <c r="F673" s="79">
        <v>82.48</v>
      </c>
    </row>
    <row r="674" spans="1:6">
      <c r="A674" s="57">
        <v>10</v>
      </c>
      <c r="B674" s="78">
        <v>2024</v>
      </c>
      <c r="C674" s="79" t="s">
        <v>52</v>
      </c>
      <c r="D674" s="79">
        <v>-149.85000000000002</v>
      </c>
      <c r="E674" s="79">
        <v>82.48</v>
      </c>
      <c r="F674" s="79">
        <v>32.629999999999995</v>
      </c>
    </row>
    <row r="675" spans="1:6">
      <c r="A675" s="57">
        <v>11</v>
      </c>
      <c r="B675" s="78">
        <v>2024</v>
      </c>
      <c r="C675" s="79" t="s">
        <v>52</v>
      </c>
      <c r="D675" s="79">
        <v>-110.85</v>
      </c>
      <c r="E675" s="79">
        <v>32.630000000000003</v>
      </c>
      <c r="F675" s="79">
        <v>21.78</v>
      </c>
    </row>
    <row r="676" spans="1:6">
      <c r="A676" s="57">
        <v>12</v>
      </c>
      <c r="B676" s="78">
        <v>2024</v>
      </c>
      <c r="C676" s="79" t="s">
        <v>52</v>
      </c>
      <c r="D676" s="79">
        <v>-151.97999999999999</v>
      </c>
      <c r="E676" s="79">
        <v>21.78</v>
      </c>
      <c r="F676" s="79">
        <v>-30.199999999999989</v>
      </c>
    </row>
    <row r="677" spans="1:6">
      <c r="A677" s="57">
        <v>1</v>
      </c>
      <c r="B677" s="78">
        <v>2025</v>
      </c>
      <c r="C677" s="79" t="s">
        <v>52</v>
      </c>
      <c r="D677" s="79">
        <v>-131.08000000000001</v>
      </c>
      <c r="E677" s="79">
        <v>-30.2</v>
      </c>
      <c r="F677" s="79">
        <v>-61.280000000000015</v>
      </c>
    </row>
    <row r="678" spans="1:6">
      <c r="A678" s="57">
        <v>2</v>
      </c>
      <c r="B678" s="78">
        <v>2025</v>
      </c>
      <c r="C678" s="79" t="s">
        <v>52</v>
      </c>
      <c r="D678" s="79">
        <v>-34.92</v>
      </c>
      <c r="E678" s="79">
        <v>-61.28</v>
      </c>
      <c r="F678" s="79">
        <v>3.7999999999999972</v>
      </c>
    </row>
    <row r="679" spans="1:6">
      <c r="A679" s="57">
        <v>3</v>
      </c>
      <c r="B679" s="78">
        <v>2025</v>
      </c>
      <c r="C679" s="79" t="s">
        <v>52</v>
      </c>
      <c r="D679" s="79">
        <v>-116.28</v>
      </c>
      <c r="E679" s="79">
        <v>3.8</v>
      </c>
      <c r="F679" s="79">
        <v>-12.480000000000004</v>
      </c>
    </row>
    <row r="680" spans="1:6">
      <c r="A680" s="57">
        <v>4</v>
      </c>
      <c r="B680" s="78">
        <v>2025</v>
      </c>
      <c r="C680" s="79" t="s">
        <v>52</v>
      </c>
      <c r="D680" s="79">
        <v>-85.82</v>
      </c>
      <c r="E680" s="79">
        <v>-12.48</v>
      </c>
      <c r="F680" s="79">
        <v>1.7000000000000028</v>
      </c>
    </row>
    <row r="681" spans="1:6">
      <c r="A681" s="57">
        <v>5</v>
      </c>
      <c r="B681" s="78">
        <v>2025</v>
      </c>
      <c r="C681" s="79" t="s">
        <v>52</v>
      </c>
      <c r="D681" s="79">
        <v>-19.190000000000001</v>
      </c>
      <c r="E681" s="79">
        <v>1.7</v>
      </c>
      <c r="F681" s="79">
        <v>82.51</v>
      </c>
    </row>
    <row r="682" spans="1:6">
      <c r="A682" s="57">
        <v>6</v>
      </c>
      <c r="B682" s="78">
        <v>2025</v>
      </c>
      <c r="C682" s="79" t="s">
        <v>52</v>
      </c>
      <c r="D682" s="79">
        <v>-118.88</v>
      </c>
      <c r="E682" s="79">
        <v>82.51</v>
      </c>
      <c r="F682" s="79">
        <v>63.629999999999995</v>
      </c>
    </row>
    <row r="683" spans="1:6">
      <c r="A683" s="57">
        <v>7</v>
      </c>
      <c r="B683" s="78">
        <v>2025</v>
      </c>
      <c r="C683" s="79" t="s">
        <v>52</v>
      </c>
      <c r="D683" s="79">
        <v>-237.54</v>
      </c>
      <c r="E683" s="79">
        <v>63.63</v>
      </c>
      <c r="F683" s="79">
        <v>-73.91</v>
      </c>
    </row>
    <row r="684" spans="1:6">
      <c r="A684" s="57">
        <v>8</v>
      </c>
      <c r="B684" s="78">
        <v>2025</v>
      </c>
      <c r="C684" s="79" t="s">
        <v>52</v>
      </c>
      <c r="D684" s="79">
        <v>-52.64</v>
      </c>
      <c r="E684" s="79">
        <v>-73.91</v>
      </c>
      <c r="F684" s="79">
        <v>-26.549999999999997</v>
      </c>
    </row>
    <row r="685" spans="1:6">
      <c r="A685" s="57">
        <v>9</v>
      </c>
      <c r="B685" s="78">
        <v>2025</v>
      </c>
      <c r="C685" s="79" t="s">
        <v>52</v>
      </c>
      <c r="D685" s="79">
        <v>-56.05</v>
      </c>
      <c r="E685" s="79">
        <v>-26.55</v>
      </c>
      <c r="F685" s="79">
        <v>17.400000000000006</v>
      </c>
    </row>
    <row r="686" spans="1:6">
      <c r="A686" s="57">
        <v>10</v>
      </c>
      <c r="B686" s="78">
        <v>2025</v>
      </c>
      <c r="C686" s="79" t="s">
        <v>52</v>
      </c>
      <c r="D686" s="79">
        <v>-12.38</v>
      </c>
      <c r="E686" s="79">
        <v>17.399999999999999</v>
      </c>
      <c r="F686" s="79">
        <v>105.02000000000001</v>
      </c>
    </row>
    <row r="687" spans="1:6">
      <c r="A687" s="57">
        <v>11</v>
      </c>
      <c r="B687" s="78">
        <v>2025</v>
      </c>
      <c r="C687" s="79" t="s">
        <v>52</v>
      </c>
      <c r="D687" s="79">
        <v>-145.93</v>
      </c>
      <c r="E687" s="79">
        <v>105.02</v>
      </c>
      <c r="F687" s="79">
        <v>59.089999999999975</v>
      </c>
    </row>
    <row r="688" spans="1:6">
      <c r="A688" s="57">
        <v>12</v>
      </c>
      <c r="B688" s="78">
        <v>2025</v>
      </c>
      <c r="C688" s="79" t="s">
        <v>52</v>
      </c>
      <c r="D688" s="79">
        <v>0</v>
      </c>
      <c r="E688" s="79">
        <v>59.09</v>
      </c>
      <c r="F688" s="79">
        <v>159.09</v>
      </c>
    </row>
    <row r="689" spans="1:6">
      <c r="A689" s="57">
        <v>1</v>
      </c>
      <c r="B689" s="78">
        <v>2024</v>
      </c>
      <c r="C689" s="79" t="s">
        <v>39</v>
      </c>
      <c r="D689" s="79">
        <v>0</v>
      </c>
      <c r="E689" s="79">
        <v>0</v>
      </c>
      <c r="F689" s="79">
        <v>0</v>
      </c>
    </row>
    <row r="690" spans="1:6">
      <c r="A690" s="57">
        <v>2</v>
      </c>
      <c r="B690" s="78">
        <v>2024</v>
      </c>
      <c r="C690" s="79" t="s">
        <v>39</v>
      </c>
      <c r="D690" s="79">
        <v>-96.71</v>
      </c>
      <c r="E690" s="79">
        <v>0</v>
      </c>
      <c r="F690" s="79">
        <v>0</v>
      </c>
    </row>
    <row r="691" spans="1:6">
      <c r="A691" s="57">
        <v>3</v>
      </c>
      <c r="B691" s="78">
        <v>2024</v>
      </c>
      <c r="C691" s="79" t="s">
        <v>39</v>
      </c>
      <c r="D691" s="79">
        <v>-96.71</v>
      </c>
      <c r="E691" s="79">
        <v>0</v>
      </c>
      <c r="F691" s="79">
        <v>0</v>
      </c>
    </row>
    <row r="692" spans="1:6">
      <c r="A692" s="57">
        <v>4</v>
      </c>
      <c r="B692" s="78">
        <v>2024</v>
      </c>
      <c r="C692" s="79" t="s">
        <v>39</v>
      </c>
      <c r="D692" s="79">
        <v>-108.01</v>
      </c>
      <c r="E692" s="79">
        <v>0</v>
      </c>
      <c r="F692" s="79">
        <v>-11.300000000000011</v>
      </c>
    </row>
    <row r="693" spans="1:6">
      <c r="A693" s="57">
        <v>5</v>
      </c>
      <c r="B693" s="78">
        <v>2024</v>
      </c>
      <c r="C693" s="79" t="s">
        <v>39</v>
      </c>
      <c r="D693" s="79">
        <v>-85.41</v>
      </c>
      <c r="E693" s="79">
        <v>-11.3</v>
      </c>
      <c r="F693" s="79">
        <v>0</v>
      </c>
    </row>
    <row r="694" spans="1:6">
      <c r="A694" s="57">
        <v>6</v>
      </c>
      <c r="B694" s="78">
        <v>2024</v>
      </c>
      <c r="C694" s="79" t="s">
        <v>39</v>
      </c>
      <c r="D694" s="79">
        <v>-104.62</v>
      </c>
      <c r="E694" s="79">
        <v>0</v>
      </c>
      <c r="F694" s="79">
        <v>-7.9100000000000108</v>
      </c>
    </row>
    <row r="695" spans="1:6">
      <c r="A695" s="57">
        <v>7</v>
      </c>
      <c r="B695" s="78">
        <v>2024</v>
      </c>
      <c r="C695" s="79" t="s">
        <v>39</v>
      </c>
      <c r="D695" s="79">
        <v>-104.62</v>
      </c>
      <c r="E695" s="79">
        <v>-7.9100000000000099</v>
      </c>
      <c r="F695" s="79">
        <v>-15.820000000000022</v>
      </c>
    </row>
    <row r="696" spans="1:6">
      <c r="A696" s="57">
        <v>8</v>
      </c>
      <c r="B696" s="78">
        <v>2024</v>
      </c>
      <c r="C696" s="79" t="s">
        <v>39</v>
      </c>
      <c r="D696" s="79">
        <v>-104.62</v>
      </c>
      <c r="E696" s="79">
        <v>-15.82</v>
      </c>
      <c r="F696" s="79">
        <v>-23.730000000000015</v>
      </c>
    </row>
    <row r="697" spans="1:6">
      <c r="A697" s="57">
        <v>9</v>
      </c>
      <c r="B697" s="78">
        <v>2024</v>
      </c>
      <c r="C697" s="79" t="s">
        <v>39</v>
      </c>
      <c r="D697" s="79">
        <v>-72.98</v>
      </c>
      <c r="E697" s="79">
        <v>-23.73</v>
      </c>
      <c r="F697" s="79">
        <v>-1.4210854715202004E-14</v>
      </c>
    </row>
    <row r="698" spans="1:6">
      <c r="A698" s="57">
        <v>10</v>
      </c>
      <c r="B698" s="78">
        <v>2024</v>
      </c>
      <c r="C698" s="79" t="s">
        <v>39</v>
      </c>
      <c r="D698" s="79">
        <v>-104.62</v>
      </c>
      <c r="E698" s="79">
        <v>-1.4210854715202001E-14</v>
      </c>
      <c r="F698" s="79">
        <v>-1.4210854715202004E-14</v>
      </c>
    </row>
    <row r="699" spans="1:6">
      <c r="A699" s="57">
        <v>11</v>
      </c>
      <c r="B699" s="78">
        <v>2024</v>
      </c>
      <c r="C699" s="79" t="s">
        <v>39</v>
      </c>
      <c r="D699" s="79">
        <v>-104.62</v>
      </c>
      <c r="E699" s="79">
        <v>-1.4210854715202001E-14</v>
      </c>
      <c r="F699" s="79">
        <v>-1.4210854715202004E-14</v>
      </c>
    </row>
    <row r="700" spans="1:6">
      <c r="A700" s="57">
        <v>12</v>
      </c>
      <c r="B700" s="78">
        <v>2024</v>
      </c>
      <c r="C700" s="79" t="s">
        <v>39</v>
      </c>
      <c r="D700" s="79">
        <v>-104.62</v>
      </c>
      <c r="E700" s="79">
        <v>-1.4210854715202001E-14</v>
      </c>
      <c r="F700" s="79">
        <v>-1.4210854715202004E-14</v>
      </c>
    </row>
    <row r="701" spans="1:6">
      <c r="A701" s="57">
        <v>1</v>
      </c>
      <c r="B701" s="78">
        <v>2025</v>
      </c>
      <c r="C701" s="79" t="s">
        <v>39</v>
      </c>
      <c r="D701" s="79">
        <v>-120.1</v>
      </c>
      <c r="E701" s="79">
        <v>-1.4210854715202001E-14</v>
      </c>
      <c r="F701" s="79">
        <v>-15.480000000000004</v>
      </c>
    </row>
    <row r="702" spans="1:6">
      <c r="A702" s="57">
        <v>2</v>
      </c>
      <c r="B702" s="78">
        <v>2025</v>
      </c>
      <c r="C702" s="79" t="s">
        <v>39</v>
      </c>
      <c r="D702" s="79">
        <v>-125.43</v>
      </c>
      <c r="E702" s="79">
        <v>-15.48</v>
      </c>
      <c r="F702" s="79">
        <v>-36.290000000000006</v>
      </c>
    </row>
    <row r="703" spans="1:6">
      <c r="A703" s="57">
        <v>3</v>
      </c>
      <c r="B703" s="78">
        <v>2025</v>
      </c>
      <c r="C703" s="79" t="s">
        <v>39</v>
      </c>
      <c r="D703" s="79">
        <v>-125.43</v>
      </c>
      <c r="E703" s="79">
        <v>-36.29</v>
      </c>
      <c r="F703" s="79">
        <v>-57.099999999999994</v>
      </c>
    </row>
    <row r="704" spans="1:6">
      <c r="A704" s="57">
        <v>4</v>
      </c>
      <c r="B704" s="78">
        <v>2025</v>
      </c>
      <c r="C704" s="79" t="s">
        <v>39</v>
      </c>
      <c r="D704" s="79">
        <v>-143.51</v>
      </c>
      <c r="E704" s="79">
        <v>-57.1</v>
      </c>
      <c r="F704" s="79">
        <v>-95.989999999999981</v>
      </c>
    </row>
    <row r="705" spans="1:6">
      <c r="A705" s="57">
        <v>5</v>
      </c>
      <c r="B705" s="78">
        <v>2025</v>
      </c>
      <c r="C705" s="79" t="s">
        <v>39</v>
      </c>
      <c r="D705" s="79">
        <v>-29.440000000000012</v>
      </c>
      <c r="E705" s="79">
        <v>-95.99</v>
      </c>
      <c r="F705" s="79">
        <v>0</v>
      </c>
    </row>
    <row r="706" spans="1:6">
      <c r="A706" s="57">
        <v>6</v>
      </c>
      <c r="B706" s="78">
        <v>2025</v>
      </c>
      <c r="C706" s="79" t="s">
        <v>39</v>
      </c>
      <c r="D706" s="79">
        <v>-125.43</v>
      </c>
      <c r="E706" s="79">
        <v>0</v>
      </c>
      <c r="F706" s="79">
        <v>0</v>
      </c>
    </row>
    <row r="707" spans="1:6">
      <c r="A707" s="57">
        <v>7</v>
      </c>
      <c r="B707" s="78">
        <v>2025</v>
      </c>
      <c r="C707" s="79" t="s">
        <v>39</v>
      </c>
      <c r="D707" s="79">
        <v>-125.43</v>
      </c>
      <c r="E707" s="79">
        <v>0</v>
      </c>
      <c r="F707" s="79">
        <v>0</v>
      </c>
    </row>
    <row r="708" spans="1:6">
      <c r="A708" s="57">
        <v>8</v>
      </c>
      <c r="B708" s="78">
        <v>2025</v>
      </c>
      <c r="C708" s="79" t="s">
        <v>39</v>
      </c>
      <c r="D708" s="79">
        <v>-125.43</v>
      </c>
      <c r="E708" s="79">
        <v>0</v>
      </c>
      <c r="F708" s="79">
        <v>0</v>
      </c>
    </row>
    <row r="709" spans="1:6">
      <c r="A709" s="57">
        <v>9</v>
      </c>
      <c r="B709" s="78">
        <v>2025</v>
      </c>
      <c r="C709" s="79" t="s">
        <v>39</v>
      </c>
      <c r="D709" s="79">
        <v>-125.43</v>
      </c>
      <c r="E709" s="79">
        <v>0</v>
      </c>
      <c r="F709" s="79">
        <v>0</v>
      </c>
    </row>
    <row r="710" spans="1:6">
      <c r="A710" s="57">
        <v>10</v>
      </c>
      <c r="B710" s="78">
        <v>2025</v>
      </c>
      <c r="C710" s="79" t="s">
        <v>39</v>
      </c>
      <c r="D710" s="79">
        <v>-125.43</v>
      </c>
      <c r="E710" s="79">
        <v>0</v>
      </c>
      <c r="F710" s="79">
        <v>0</v>
      </c>
    </row>
    <row r="711" spans="1:6">
      <c r="A711" s="57">
        <v>11</v>
      </c>
      <c r="B711" s="78">
        <v>2025</v>
      </c>
      <c r="C711" s="79" t="s">
        <v>39</v>
      </c>
      <c r="D711" s="79">
        <v>-125.43</v>
      </c>
      <c r="E711" s="79">
        <v>0</v>
      </c>
      <c r="F711" s="79">
        <v>0</v>
      </c>
    </row>
    <row r="712" spans="1:6">
      <c r="A712" s="57">
        <v>12</v>
      </c>
      <c r="B712" s="78">
        <v>2025</v>
      </c>
      <c r="C712" s="79" t="s">
        <v>39</v>
      </c>
      <c r="D712" s="79">
        <v>0</v>
      </c>
      <c r="E712" s="79">
        <v>0</v>
      </c>
      <c r="F712" s="79">
        <v>125.43</v>
      </c>
    </row>
    <row r="713" spans="1:6">
      <c r="A713" s="57">
        <v>1</v>
      </c>
      <c r="B713" s="78">
        <v>2024</v>
      </c>
      <c r="C713" s="79" t="s">
        <v>51</v>
      </c>
      <c r="D713" s="79">
        <v>0</v>
      </c>
      <c r="E713" s="79">
        <v>0</v>
      </c>
      <c r="F713" s="79">
        <v>0</v>
      </c>
    </row>
    <row r="714" spans="1:6">
      <c r="A714" s="57">
        <v>2</v>
      </c>
      <c r="B714" s="78">
        <v>2024</v>
      </c>
      <c r="C714" s="79" t="s">
        <v>51</v>
      </c>
      <c r="D714" s="79">
        <v>-251.44</v>
      </c>
      <c r="E714" s="79">
        <v>0</v>
      </c>
      <c r="F714" s="79">
        <v>0</v>
      </c>
    </row>
    <row r="715" spans="1:6">
      <c r="A715" s="57">
        <v>3</v>
      </c>
      <c r="B715" s="78">
        <v>2024</v>
      </c>
      <c r="C715" s="79" t="s">
        <v>51</v>
      </c>
      <c r="D715" s="79">
        <v>-251.44</v>
      </c>
      <c r="E715" s="79">
        <v>0</v>
      </c>
      <c r="F715" s="79">
        <v>0</v>
      </c>
    </row>
    <row r="716" spans="1:6">
      <c r="A716" s="57">
        <v>4</v>
      </c>
      <c r="B716" s="78">
        <v>2024</v>
      </c>
      <c r="C716" s="79" t="s">
        <v>51</v>
      </c>
      <c r="D716" s="79">
        <v>-251.44</v>
      </c>
      <c r="E716" s="79">
        <v>0</v>
      </c>
      <c r="F716" s="79">
        <v>0</v>
      </c>
    </row>
    <row r="717" spans="1:6">
      <c r="A717" s="57">
        <v>5</v>
      </c>
      <c r="B717" s="78">
        <v>2024</v>
      </c>
      <c r="C717" s="79" t="s">
        <v>51</v>
      </c>
      <c r="D717" s="79">
        <v>-251.44</v>
      </c>
      <c r="E717" s="79">
        <v>0</v>
      </c>
      <c r="F717" s="79">
        <v>0</v>
      </c>
    </row>
    <row r="718" spans="1:6">
      <c r="A718" s="57">
        <v>6</v>
      </c>
      <c r="B718" s="78">
        <v>2024</v>
      </c>
      <c r="C718" s="79" t="s">
        <v>51</v>
      </c>
      <c r="D718" s="79">
        <v>-251.44</v>
      </c>
      <c r="E718" s="79">
        <v>0</v>
      </c>
      <c r="F718" s="79">
        <v>0</v>
      </c>
    </row>
    <row r="719" spans="1:6">
      <c r="A719" s="57">
        <v>7</v>
      </c>
      <c r="B719" s="78">
        <v>2024</v>
      </c>
      <c r="C719" s="79" t="s">
        <v>51</v>
      </c>
      <c r="D719" s="79">
        <v>-251.44</v>
      </c>
      <c r="E719" s="79">
        <v>0</v>
      </c>
      <c r="F719" s="79">
        <v>0</v>
      </c>
    </row>
    <row r="720" spans="1:6">
      <c r="A720" s="57">
        <v>8</v>
      </c>
      <c r="B720" s="78">
        <v>2024</v>
      </c>
      <c r="C720" s="79" t="s">
        <v>51</v>
      </c>
      <c r="D720" s="79">
        <v>-251.44</v>
      </c>
      <c r="E720" s="79">
        <v>0</v>
      </c>
      <c r="F720" s="79">
        <v>0</v>
      </c>
    </row>
    <row r="721" spans="1:6">
      <c r="A721" s="57">
        <v>9</v>
      </c>
      <c r="B721" s="78">
        <v>2024</v>
      </c>
      <c r="C721" s="79" t="s">
        <v>51</v>
      </c>
      <c r="D721" s="79">
        <v>-251.44</v>
      </c>
      <c r="E721" s="79">
        <v>0</v>
      </c>
      <c r="F721" s="79">
        <v>0</v>
      </c>
    </row>
    <row r="722" spans="1:6">
      <c r="A722" s="57">
        <v>10</v>
      </c>
      <c r="B722" s="78">
        <v>2024</v>
      </c>
      <c r="C722" s="79" t="s">
        <v>51</v>
      </c>
      <c r="D722" s="79">
        <v>-251.44</v>
      </c>
      <c r="E722" s="79">
        <v>0</v>
      </c>
      <c r="F722" s="79">
        <v>0</v>
      </c>
    </row>
    <row r="723" spans="1:6">
      <c r="A723" s="57">
        <v>11</v>
      </c>
      <c r="B723" s="78">
        <v>2024</v>
      </c>
      <c r="C723" s="79" t="s">
        <v>51</v>
      </c>
      <c r="D723" s="79">
        <v>-251.44</v>
      </c>
      <c r="E723" s="79">
        <v>0</v>
      </c>
      <c r="F723" s="79">
        <v>0</v>
      </c>
    </row>
    <row r="724" spans="1:6">
      <c r="A724" s="57">
        <v>12</v>
      </c>
      <c r="B724" s="78">
        <v>2024</v>
      </c>
      <c r="C724" s="79" t="s">
        <v>51</v>
      </c>
      <c r="D724" s="79">
        <v>-251.44</v>
      </c>
      <c r="E724" s="79">
        <v>0</v>
      </c>
      <c r="F724" s="79">
        <v>0</v>
      </c>
    </row>
    <row r="725" spans="1:6">
      <c r="A725" s="57">
        <v>1</v>
      </c>
      <c r="B725" s="78">
        <v>2025</v>
      </c>
      <c r="C725" s="79" t="s">
        <v>51</v>
      </c>
      <c r="D725" s="79">
        <v>-251.44</v>
      </c>
      <c r="E725" s="79">
        <v>0</v>
      </c>
      <c r="F725" s="79">
        <v>0</v>
      </c>
    </row>
    <row r="726" spans="1:6">
      <c r="A726" s="57">
        <v>2</v>
      </c>
      <c r="B726" s="78">
        <v>2025</v>
      </c>
      <c r="C726" s="79" t="s">
        <v>51</v>
      </c>
      <c r="D726" s="79">
        <v>-251.44</v>
      </c>
      <c r="E726" s="79">
        <v>0</v>
      </c>
      <c r="F726" s="79">
        <v>0</v>
      </c>
    </row>
    <row r="727" spans="1:6">
      <c r="A727" s="57">
        <v>3</v>
      </c>
      <c r="B727" s="78">
        <v>2025</v>
      </c>
      <c r="C727" s="79" t="s">
        <v>51</v>
      </c>
      <c r="D727" s="79">
        <v>-251.44</v>
      </c>
      <c r="E727" s="79">
        <v>0</v>
      </c>
      <c r="F727" s="79">
        <v>0</v>
      </c>
    </row>
    <row r="728" spans="1:6">
      <c r="A728" s="57">
        <v>4</v>
      </c>
      <c r="B728" s="78">
        <v>2025</v>
      </c>
      <c r="C728" s="79" t="s">
        <v>51</v>
      </c>
      <c r="D728" s="79">
        <v>-251.44</v>
      </c>
      <c r="E728" s="79">
        <v>0</v>
      </c>
      <c r="F728" s="79">
        <v>0</v>
      </c>
    </row>
    <row r="729" spans="1:6">
      <c r="A729" s="57">
        <v>5</v>
      </c>
      <c r="B729" s="78">
        <v>2025</v>
      </c>
      <c r="C729" s="79" t="s">
        <v>51</v>
      </c>
      <c r="D729" s="79">
        <v>-251.44</v>
      </c>
      <c r="E729" s="79">
        <v>0</v>
      </c>
      <c r="F729" s="79">
        <v>0</v>
      </c>
    </row>
    <row r="730" spans="1:6">
      <c r="A730" s="57">
        <v>6</v>
      </c>
      <c r="B730" s="78">
        <v>2025</v>
      </c>
      <c r="C730" s="79" t="s">
        <v>51</v>
      </c>
      <c r="D730" s="79">
        <v>-251.44</v>
      </c>
      <c r="E730" s="79">
        <v>0</v>
      </c>
      <c r="F730" s="79">
        <v>0</v>
      </c>
    </row>
    <row r="731" spans="1:6">
      <c r="A731" s="57">
        <v>7</v>
      </c>
      <c r="B731" s="78">
        <v>2025</v>
      </c>
      <c r="C731" s="79" t="s">
        <v>51</v>
      </c>
      <c r="D731" s="79">
        <v>-251.44</v>
      </c>
      <c r="E731" s="79">
        <v>0</v>
      </c>
      <c r="F731" s="79">
        <v>0</v>
      </c>
    </row>
    <row r="732" spans="1:6">
      <c r="A732" s="57">
        <v>8</v>
      </c>
      <c r="B732" s="78">
        <v>2025</v>
      </c>
      <c r="C732" s="79" t="s">
        <v>51</v>
      </c>
      <c r="D732" s="79">
        <v>-251.44</v>
      </c>
      <c r="E732" s="79">
        <v>0</v>
      </c>
      <c r="F732" s="79">
        <v>0</v>
      </c>
    </row>
    <row r="733" spans="1:6">
      <c r="A733" s="57">
        <v>9</v>
      </c>
      <c r="B733" s="78">
        <v>2025</v>
      </c>
      <c r="C733" s="79" t="s">
        <v>51</v>
      </c>
      <c r="D733" s="79">
        <v>-251.44</v>
      </c>
      <c r="E733" s="79">
        <v>0</v>
      </c>
      <c r="F733" s="79">
        <v>0</v>
      </c>
    </row>
    <row r="734" spans="1:6">
      <c r="A734" s="57">
        <v>10</v>
      </c>
      <c r="B734" s="78">
        <v>2025</v>
      </c>
      <c r="C734" s="79" t="s">
        <v>51</v>
      </c>
      <c r="D734" s="79">
        <v>-251.44</v>
      </c>
      <c r="E734" s="79">
        <v>0</v>
      </c>
      <c r="F734" s="79">
        <v>0</v>
      </c>
    </row>
    <row r="735" spans="1:6">
      <c r="A735" s="57">
        <v>11</v>
      </c>
      <c r="B735" s="78">
        <v>2025</v>
      </c>
      <c r="C735" s="79" t="s">
        <v>51</v>
      </c>
      <c r="D735" s="79">
        <v>-251.44</v>
      </c>
      <c r="E735" s="79">
        <v>0</v>
      </c>
      <c r="F735" s="79">
        <v>0</v>
      </c>
    </row>
    <row r="736" spans="1:6">
      <c r="A736" s="57">
        <v>12</v>
      </c>
      <c r="B736" s="78">
        <v>2025</v>
      </c>
      <c r="C736" s="79" t="s">
        <v>51</v>
      </c>
      <c r="D736" s="79">
        <v>0</v>
      </c>
      <c r="E736" s="79">
        <v>0</v>
      </c>
      <c r="F736" s="79">
        <v>251.44</v>
      </c>
    </row>
    <row r="737" spans="1:6">
      <c r="A737" s="57">
        <v>1</v>
      </c>
      <c r="B737" s="78">
        <v>2024</v>
      </c>
      <c r="C737" s="79" t="s">
        <v>49</v>
      </c>
      <c r="D737" s="79">
        <v>0</v>
      </c>
      <c r="E737" s="79">
        <v>0</v>
      </c>
      <c r="F737" s="79">
        <v>0</v>
      </c>
    </row>
    <row r="738" spans="1:6">
      <c r="A738" s="57">
        <v>2</v>
      </c>
      <c r="B738" s="78">
        <v>2024</v>
      </c>
      <c r="C738" s="79" t="s">
        <v>49</v>
      </c>
      <c r="D738" s="79">
        <v>-150</v>
      </c>
      <c r="E738" s="79">
        <v>0</v>
      </c>
      <c r="F738" s="79">
        <v>0</v>
      </c>
    </row>
    <row r="739" spans="1:6">
      <c r="A739" s="57">
        <v>3</v>
      </c>
      <c r="B739" s="78">
        <v>2024</v>
      </c>
      <c r="C739" s="79" t="s">
        <v>49</v>
      </c>
      <c r="D739" s="79">
        <v>-150</v>
      </c>
      <c r="E739" s="79">
        <v>0</v>
      </c>
      <c r="F739" s="79">
        <v>0</v>
      </c>
    </row>
    <row r="740" spans="1:6">
      <c r="A740" s="57">
        <v>4</v>
      </c>
      <c r="B740" s="78">
        <v>2024</v>
      </c>
      <c r="C740" s="79" t="s">
        <v>49</v>
      </c>
      <c r="D740" s="79">
        <v>-200</v>
      </c>
      <c r="E740" s="79">
        <v>0</v>
      </c>
      <c r="F740" s="79">
        <v>0</v>
      </c>
    </row>
    <row r="741" spans="1:6">
      <c r="A741" s="57">
        <v>5</v>
      </c>
      <c r="B741" s="78">
        <v>2024</v>
      </c>
      <c r="C741" s="79" t="s">
        <v>49</v>
      </c>
      <c r="D741" s="79">
        <v>-150</v>
      </c>
      <c r="E741" s="79">
        <v>0</v>
      </c>
      <c r="F741" s="79">
        <v>50</v>
      </c>
    </row>
    <row r="742" spans="1:6">
      <c r="A742" s="57">
        <v>6</v>
      </c>
      <c r="B742" s="78">
        <v>2024</v>
      </c>
      <c r="C742" s="79" t="s">
        <v>49</v>
      </c>
      <c r="D742" s="79">
        <v>-150</v>
      </c>
      <c r="E742" s="79">
        <v>50</v>
      </c>
      <c r="F742" s="79">
        <v>100</v>
      </c>
    </row>
    <row r="743" spans="1:6">
      <c r="A743" s="57">
        <v>7</v>
      </c>
      <c r="B743" s="78">
        <v>2024</v>
      </c>
      <c r="C743" s="79" t="s">
        <v>49</v>
      </c>
      <c r="D743" s="79">
        <v>-150</v>
      </c>
      <c r="E743" s="79">
        <v>100</v>
      </c>
      <c r="F743" s="79">
        <v>150</v>
      </c>
    </row>
    <row r="744" spans="1:6">
      <c r="A744" s="57">
        <v>8</v>
      </c>
      <c r="B744" s="78">
        <v>2024</v>
      </c>
      <c r="C744" s="79" t="s">
        <v>49</v>
      </c>
      <c r="D744" s="79">
        <v>-150</v>
      </c>
      <c r="E744" s="79">
        <v>150</v>
      </c>
      <c r="F744" s="79">
        <v>200</v>
      </c>
    </row>
    <row r="745" spans="1:6">
      <c r="A745" s="57">
        <v>9</v>
      </c>
      <c r="B745" s="78">
        <v>2024</v>
      </c>
      <c r="C745" s="79" t="s">
        <v>49</v>
      </c>
      <c r="D745" s="79">
        <v>-400</v>
      </c>
      <c r="E745" s="79">
        <v>200</v>
      </c>
      <c r="F745" s="79">
        <v>0</v>
      </c>
    </row>
    <row r="746" spans="1:6">
      <c r="A746" s="57">
        <v>10</v>
      </c>
      <c r="B746" s="78">
        <v>2024</v>
      </c>
      <c r="C746" s="79" t="s">
        <v>49</v>
      </c>
      <c r="D746" s="79">
        <v>-200</v>
      </c>
      <c r="E746" s="79">
        <v>0</v>
      </c>
      <c r="F746" s="79">
        <v>0</v>
      </c>
    </row>
    <row r="747" spans="1:6">
      <c r="A747" s="57">
        <v>11</v>
      </c>
      <c r="B747" s="78">
        <v>2024</v>
      </c>
      <c r="C747" s="79" t="s">
        <v>49</v>
      </c>
      <c r="D747" s="79">
        <v>-150</v>
      </c>
      <c r="E747" s="79">
        <v>0</v>
      </c>
      <c r="F747" s="79">
        <v>0</v>
      </c>
    </row>
    <row r="748" spans="1:6">
      <c r="A748" s="57">
        <v>12</v>
      </c>
      <c r="B748" s="78">
        <v>2024</v>
      </c>
      <c r="C748" s="79" t="s">
        <v>49</v>
      </c>
      <c r="D748" s="79">
        <v>-150</v>
      </c>
      <c r="E748" s="79">
        <v>0</v>
      </c>
      <c r="F748" s="79">
        <v>0</v>
      </c>
    </row>
    <row r="749" spans="1:6">
      <c r="A749" s="57">
        <v>1</v>
      </c>
      <c r="B749" s="78">
        <v>2025</v>
      </c>
      <c r="C749" s="79" t="s">
        <v>49</v>
      </c>
      <c r="D749" s="79">
        <v>-150</v>
      </c>
      <c r="E749" s="79">
        <v>0</v>
      </c>
      <c r="F749" s="79">
        <v>0</v>
      </c>
    </row>
    <row r="750" spans="1:6">
      <c r="A750" s="57">
        <v>2</v>
      </c>
      <c r="B750" s="78">
        <v>2025</v>
      </c>
      <c r="C750" s="79" t="s">
        <v>49</v>
      </c>
      <c r="D750" s="79">
        <v>-150</v>
      </c>
      <c r="E750" s="79">
        <v>0</v>
      </c>
      <c r="F750" s="79">
        <v>0</v>
      </c>
    </row>
    <row r="751" spans="1:6">
      <c r="A751" s="57">
        <v>3</v>
      </c>
      <c r="B751" s="78">
        <v>2025</v>
      </c>
      <c r="C751" s="79" t="s">
        <v>49</v>
      </c>
      <c r="D751" s="79">
        <v>-200</v>
      </c>
      <c r="E751" s="79">
        <v>0</v>
      </c>
      <c r="F751" s="79">
        <v>-50</v>
      </c>
    </row>
    <row r="752" spans="1:6">
      <c r="A752" s="57">
        <v>4</v>
      </c>
      <c r="B752" s="78">
        <v>2025</v>
      </c>
      <c r="C752" s="79" t="s">
        <v>49</v>
      </c>
      <c r="D752" s="79">
        <v>-150</v>
      </c>
      <c r="E752" s="79">
        <v>-50</v>
      </c>
      <c r="F752" s="79">
        <v>-50</v>
      </c>
    </row>
    <row r="753" spans="1:6">
      <c r="A753" s="57">
        <v>5</v>
      </c>
      <c r="B753" s="78">
        <v>2025</v>
      </c>
      <c r="C753" s="79" t="s">
        <v>49</v>
      </c>
      <c r="D753" s="79">
        <v>-150</v>
      </c>
      <c r="E753" s="79">
        <v>-50</v>
      </c>
      <c r="F753" s="79">
        <v>-50</v>
      </c>
    </row>
    <row r="754" spans="1:6">
      <c r="A754" s="57">
        <v>6</v>
      </c>
      <c r="B754" s="78">
        <v>2025</v>
      </c>
      <c r="C754" s="79" t="s">
        <v>49</v>
      </c>
      <c r="D754" s="79">
        <v>-150</v>
      </c>
      <c r="E754" s="79">
        <v>-50</v>
      </c>
      <c r="F754" s="79">
        <v>-50</v>
      </c>
    </row>
    <row r="755" spans="1:6">
      <c r="A755" s="57">
        <v>7</v>
      </c>
      <c r="B755" s="78">
        <v>2025</v>
      </c>
      <c r="C755" s="79" t="s">
        <v>49</v>
      </c>
      <c r="D755" s="79">
        <v>-150</v>
      </c>
      <c r="E755" s="79">
        <v>-50</v>
      </c>
      <c r="F755" s="79">
        <v>-50</v>
      </c>
    </row>
    <row r="756" spans="1:6">
      <c r="A756" s="57">
        <v>8</v>
      </c>
      <c r="B756" s="78">
        <v>2025</v>
      </c>
      <c r="C756" s="79" t="s">
        <v>49</v>
      </c>
      <c r="D756" s="79">
        <v>-150</v>
      </c>
      <c r="E756" s="79">
        <v>-50</v>
      </c>
      <c r="F756" s="79">
        <v>-50</v>
      </c>
    </row>
    <row r="757" spans="1:6">
      <c r="A757" s="57">
        <v>9</v>
      </c>
      <c r="B757" s="78">
        <v>2025</v>
      </c>
      <c r="C757" s="79" t="s">
        <v>49</v>
      </c>
      <c r="D757" s="79">
        <v>-200</v>
      </c>
      <c r="E757" s="79">
        <v>-50</v>
      </c>
      <c r="F757" s="79">
        <v>-100</v>
      </c>
    </row>
    <row r="758" spans="1:6">
      <c r="A758" s="57">
        <v>10</v>
      </c>
      <c r="B758" s="78">
        <v>2025</v>
      </c>
      <c r="C758" s="79" t="s">
        <v>49</v>
      </c>
      <c r="D758" s="79">
        <v>-150</v>
      </c>
      <c r="E758" s="79">
        <v>-100</v>
      </c>
      <c r="F758" s="79">
        <v>-100</v>
      </c>
    </row>
    <row r="759" spans="1:6">
      <c r="A759" s="57">
        <v>11</v>
      </c>
      <c r="B759" s="78">
        <v>2025</v>
      </c>
      <c r="C759" s="79" t="s">
        <v>49</v>
      </c>
      <c r="D759" s="79">
        <v>-150</v>
      </c>
      <c r="E759" s="79">
        <v>-100</v>
      </c>
      <c r="F759" s="79">
        <v>-100</v>
      </c>
    </row>
    <row r="760" spans="1:6">
      <c r="A760" s="57">
        <v>12</v>
      </c>
      <c r="B760" s="78">
        <v>2025</v>
      </c>
      <c r="C760" s="79" t="s">
        <v>49</v>
      </c>
      <c r="D760" s="79">
        <v>0</v>
      </c>
      <c r="E760" s="79">
        <v>-100</v>
      </c>
      <c r="F760" s="79">
        <v>58.333333333333002</v>
      </c>
    </row>
    <row r="761" spans="1:6">
      <c r="A761" s="57">
        <v>1</v>
      </c>
      <c r="B761" s="78">
        <v>2024</v>
      </c>
      <c r="C761" s="79" t="s">
        <v>53</v>
      </c>
      <c r="D761" s="79">
        <v>0</v>
      </c>
      <c r="E761" s="79">
        <v>68.45</v>
      </c>
      <c r="F761" s="79">
        <v>68.45</v>
      </c>
    </row>
    <row r="762" spans="1:6">
      <c r="A762" s="57">
        <v>2</v>
      </c>
      <c r="B762" s="78">
        <v>2024</v>
      </c>
      <c r="C762" s="79" t="s">
        <v>53</v>
      </c>
      <c r="D762" s="79">
        <v>0</v>
      </c>
      <c r="E762" s="79">
        <v>68.45</v>
      </c>
      <c r="F762" s="79">
        <v>68.460000000000008</v>
      </c>
    </row>
    <row r="763" spans="1:6">
      <c r="A763" s="57">
        <v>3</v>
      </c>
      <c r="B763" s="78">
        <v>2024</v>
      </c>
      <c r="C763" s="79" t="s">
        <v>53</v>
      </c>
      <c r="D763" s="79">
        <v>-411.07</v>
      </c>
      <c r="E763" s="79">
        <v>68.459999999999994</v>
      </c>
      <c r="F763" s="79">
        <v>-292.61</v>
      </c>
    </row>
    <row r="764" spans="1:6">
      <c r="A764" s="57">
        <v>4</v>
      </c>
      <c r="B764" s="78">
        <v>2024</v>
      </c>
      <c r="C764" s="79" t="s">
        <v>53</v>
      </c>
      <c r="D764" s="79">
        <v>-56.249999999999545</v>
      </c>
      <c r="E764" s="79">
        <v>-292.61</v>
      </c>
      <c r="F764" s="79">
        <v>-298.85999999999956</v>
      </c>
    </row>
    <row r="765" spans="1:6">
      <c r="A765" s="57">
        <v>5</v>
      </c>
      <c r="B765" s="78">
        <v>2024</v>
      </c>
      <c r="C765" s="79" t="s">
        <v>53</v>
      </c>
      <c r="D765" s="79">
        <v>-551.33000000000004</v>
      </c>
      <c r="E765" s="79">
        <v>-298.86</v>
      </c>
      <c r="F765" s="79">
        <v>-430.19000000000005</v>
      </c>
    </row>
    <row r="766" spans="1:6">
      <c r="A766" s="57">
        <v>6</v>
      </c>
      <c r="B766" s="78">
        <v>2024</v>
      </c>
      <c r="C766" s="79" t="s">
        <v>53</v>
      </c>
      <c r="D766" s="79">
        <v>0</v>
      </c>
      <c r="E766" s="79">
        <v>-430.19</v>
      </c>
      <c r="F766" s="79">
        <v>19.809999999999999</v>
      </c>
    </row>
    <row r="767" spans="1:6">
      <c r="A767" s="57">
        <v>7</v>
      </c>
      <c r="B767" s="78">
        <v>2024</v>
      </c>
      <c r="C767" s="79" t="s">
        <v>53</v>
      </c>
      <c r="D767" s="79">
        <v>-439.81</v>
      </c>
      <c r="E767" s="79">
        <v>19.809999999999999</v>
      </c>
      <c r="F767" s="79">
        <v>30</v>
      </c>
    </row>
    <row r="768" spans="1:6">
      <c r="A768" s="57">
        <v>8</v>
      </c>
      <c r="B768" s="78">
        <v>2024</v>
      </c>
      <c r="C768" s="79" t="s">
        <v>53</v>
      </c>
      <c r="D768" s="79">
        <v>-37.119999999999997</v>
      </c>
      <c r="E768" s="79">
        <v>30</v>
      </c>
      <c r="F768" s="79">
        <v>92.88</v>
      </c>
    </row>
    <row r="769" spans="1:6">
      <c r="A769" s="57">
        <v>9</v>
      </c>
      <c r="B769" s="78">
        <v>2024</v>
      </c>
      <c r="C769" s="79" t="s">
        <v>53</v>
      </c>
      <c r="D769" s="79">
        <v>0</v>
      </c>
      <c r="E769" s="79">
        <v>92.88</v>
      </c>
      <c r="F769" s="79">
        <v>192.88</v>
      </c>
    </row>
    <row r="770" spans="1:6">
      <c r="A770" s="57">
        <v>10</v>
      </c>
      <c r="B770" s="78">
        <v>2024</v>
      </c>
      <c r="C770" s="79" t="s">
        <v>53</v>
      </c>
      <c r="D770" s="79">
        <v>0</v>
      </c>
      <c r="E770" s="79">
        <v>192.88</v>
      </c>
      <c r="F770" s="79">
        <v>292.88</v>
      </c>
    </row>
    <row r="771" spans="1:6">
      <c r="A771" s="57">
        <v>11</v>
      </c>
      <c r="B771" s="78">
        <v>2024</v>
      </c>
      <c r="C771" s="79" t="s">
        <v>53</v>
      </c>
      <c r="D771" s="79">
        <v>0</v>
      </c>
      <c r="E771" s="79">
        <v>292.88</v>
      </c>
      <c r="F771" s="79">
        <v>392.88</v>
      </c>
    </row>
    <row r="772" spans="1:6">
      <c r="A772" s="57">
        <v>12</v>
      </c>
      <c r="B772" s="78">
        <v>2024</v>
      </c>
      <c r="C772" s="79" t="s">
        <v>53</v>
      </c>
      <c r="D772" s="79">
        <v>0</v>
      </c>
      <c r="E772" s="79">
        <v>392.88</v>
      </c>
      <c r="F772" s="79">
        <v>492.88</v>
      </c>
    </row>
    <row r="773" spans="1:6">
      <c r="A773" s="57">
        <v>1</v>
      </c>
      <c r="B773" s="78">
        <v>2025</v>
      </c>
      <c r="C773" s="79" t="s">
        <v>53</v>
      </c>
      <c r="D773" s="79">
        <v>0</v>
      </c>
      <c r="E773" s="79">
        <v>492.88</v>
      </c>
      <c r="F773" s="79">
        <v>592.88</v>
      </c>
    </row>
    <row r="774" spans="1:6">
      <c r="A774" s="57">
        <v>2</v>
      </c>
      <c r="B774" s="78">
        <v>2025</v>
      </c>
      <c r="C774" s="79" t="s">
        <v>53</v>
      </c>
      <c r="D774" s="79">
        <v>0</v>
      </c>
      <c r="E774" s="79">
        <v>592.88</v>
      </c>
      <c r="F774" s="79">
        <v>692.88</v>
      </c>
    </row>
    <row r="775" spans="1:6">
      <c r="A775" s="57">
        <v>3</v>
      </c>
      <c r="B775" s="78">
        <v>2025</v>
      </c>
      <c r="C775" s="79" t="s">
        <v>53</v>
      </c>
      <c r="D775" s="79">
        <v>0</v>
      </c>
      <c r="E775" s="79">
        <v>692.88</v>
      </c>
      <c r="F775" s="79">
        <v>792.88</v>
      </c>
    </row>
    <row r="776" spans="1:6">
      <c r="A776" s="57">
        <v>4</v>
      </c>
      <c r="B776" s="78">
        <v>2025</v>
      </c>
      <c r="C776" s="79" t="s">
        <v>53</v>
      </c>
      <c r="D776" s="79">
        <v>0</v>
      </c>
      <c r="E776" s="79">
        <v>792.88</v>
      </c>
      <c r="F776" s="79">
        <v>892.88</v>
      </c>
    </row>
    <row r="777" spans="1:6">
      <c r="A777" s="57">
        <v>5</v>
      </c>
      <c r="B777" s="78">
        <v>2025</v>
      </c>
      <c r="C777" s="79" t="s">
        <v>53</v>
      </c>
      <c r="D777" s="79">
        <v>0</v>
      </c>
      <c r="E777" s="79">
        <v>892.88</v>
      </c>
      <c r="F777" s="79">
        <v>992.88</v>
      </c>
    </row>
    <row r="778" spans="1:6">
      <c r="A778" s="57">
        <v>6</v>
      </c>
      <c r="B778" s="78">
        <v>2025</v>
      </c>
      <c r="C778" s="79" t="s">
        <v>53</v>
      </c>
      <c r="D778" s="79">
        <v>0</v>
      </c>
      <c r="E778" s="79">
        <v>992.88</v>
      </c>
      <c r="F778" s="79">
        <v>1092.8800000000001</v>
      </c>
    </row>
    <row r="779" spans="1:6">
      <c r="A779" s="57">
        <v>7</v>
      </c>
      <c r="B779" s="78">
        <v>2025</v>
      </c>
      <c r="C779" s="79" t="s">
        <v>53</v>
      </c>
      <c r="D779" s="79">
        <v>-71.2</v>
      </c>
      <c r="E779" s="79">
        <v>1092.8800000000001</v>
      </c>
      <c r="F779" s="79">
        <v>1121.68</v>
      </c>
    </row>
    <row r="780" spans="1:6">
      <c r="A780" s="57">
        <v>8</v>
      </c>
      <c r="B780" s="78">
        <v>2025</v>
      </c>
      <c r="C780" s="79" t="s">
        <v>53</v>
      </c>
      <c r="D780" s="79">
        <v>-74.58</v>
      </c>
      <c r="E780" s="79">
        <v>1121.68</v>
      </c>
      <c r="F780" s="79">
        <v>1147.0999999999999</v>
      </c>
    </row>
    <row r="781" spans="1:6">
      <c r="A781" s="57">
        <v>9</v>
      </c>
      <c r="B781" s="78">
        <v>2025</v>
      </c>
      <c r="C781" s="79" t="s">
        <v>53</v>
      </c>
      <c r="D781" s="79">
        <v>95.15</v>
      </c>
      <c r="E781" s="79">
        <v>1147.0999999999999</v>
      </c>
      <c r="F781" s="79">
        <v>1342.25</v>
      </c>
    </row>
    <row r="782" spans="1:6">
      <c r="A782" s="57">
        <v>10</v>
      </c>
      <c r="B782" s="78">
        <v>2025</v>
      </c>
      <c r="C782" s="79" t="s">
        <v>53</v>
      </c>
      <c r="D782" s="79">
        <v>-1041.27</v>
      </c>
      <c r="E782" s="79">
        <v>1342.25</v>
      </c>
      <c r="F782" s="79">
        <v>400.98</v>
      </c>
    </row>
    <row r="783" spans="1:6">
      <c r="A783" s="57">
        <v>11</v>
      </c>
      <c r="B783" s="78">
        <v>2025</v>
      </c>
      <c r="C783" s="79" t="s">
        <v>53</v>
      </c>
      <c r="D783" s="79">
        <v>-20.329999999999998</v>
      </c>
      <c r="E783" s="79">
        <v>400.98</v>
      </c>
      <c r="F783" s="79">
        <v>480.65000000000003</v>
      </c>
    </row>
    <row r="784" spans="1:6">
      <c r="A784" s="57">
        <v>12</v>
      </c>
      <c r="B784" s="78">
        <v>2025</v>
      </c>
      <c r="C784" s="79" t="s">
        <v>53</v>
      </c>
      <c r="D784" s="79">
        <v>0</v>
      </c>
      <c r="E784" s="79">
        <v>480.65</v>
      </c>
      <c r="F784" s="79">
        <v>580.65</v>
      </c>
    </row>
    <row r="785" spans="1:6">
      <c r="A785" s="57">
        <v>1</v>
      </c>
      <c r="B785" s="78">
        <v>2024</v>
      </c>
      <c r="C785" s="79" t="s">
        <v>24</v>
      </c>
      <c r="D785" s="79">
        <v>0</v>
      </c>
      <c r="E785" s="79">
        <v>0</v>
      </c>
      <c r="F785" s="79">
        <v>0</v>
      </c>
    </row>
    <row r="786" spans="1:6">
      <c r="A786" s="57">
        <v>2</v>
      </c>
      <c r="B786" s="78">
        <v>2024</v>
      </c>
      <c r="C786" s="79" t="s">
        <v>24</v>
      </c>
      <c r="D786" s="79">
        <v>0</v>
      </c>
      <c r="E786" s="79">
        <v>0</v>
      </c>
      <c r="F786" s="79">
        <v>900</v>
      </c>
    </row>
    <row r="787" spans="1:6">
      <c r="A787" s="57">
        <v>3</v>
      </c>
      <c r="B787" s="78">
        <v>2024</v>
      </c>
      <c r="C787" s="79" t="s">
        <v>24</v>
      </c>
      <c r="D787" s="79">
        <v>0</v>
      </c>
      <c r="E787" s="79">
        <v>900</v>
      </c>
      <c r="F787" s="79">
        <v>1800</v>
      </c>
    </row>
    <row r="788" spans="1:6">
      <c r="A788" s="57">
        <v>4</v>
      </c>
      <c r="B788" s="78">
        <v>2024</v>
      </c>
      <c r="C788" s="79" t="s">
        <v>24</v>
      </c>
      <c r="D788" s="79">
        <v>0</v>
      </c>
      <c r="E788" s="79">
        <v>1800</v>
      </c>
      <c r="F788" s="79">
        <v>2700</v>
      </c>
    </row>
    <row r="789" spans="1:6">
      <c r="A789" s="57">
        <v>6</v>
      </c>
      <c r="B789" s="78">
        <v>2024</v>
      </c>
      <c r="C789" s="79" t="s">
        <v>3364</v>
      </c>
      <c r="D789" s="79">
        <v>0</v>
      </c>
      <c r="E789" s="79">
        <v>0</v>
      </c>
      <c r="F789" s="79">
        <v>0.01</v>
      </c>
    </row>
    <row r="790" spans="1:6">
      <c r="A790" s="57">
        <v>5</v>
      </c>
      <c r="B790" s="78">
        <v>2024</v>
      </c>
      <c r="C790" s="79" t="s">
        <v>3364</v>
      </c>
      <c r="D790" s="79">
        <v>0</v>
      </c>
      <c r="E790" s="79">
        <v>0</v>
      </c>
      <c r="F790" s="79">
        <v>0</v>
      </c>
    </row>
    <row r="791" spans="1:6">
      <c r="A791" s="57">
        <v>7</v>
      </c>
      <c r="B791" s="78">
        <v>2024</v>
      </c>
      <c r="C791" s="79" t="s">
        <v>3364</v>
      </c>
      <c r="D791" s="79">
        <v>0</v>
      </c>
      <c r="E791" s="79">
        <v>0.01</v>
      </c>
      <c r="F791" s="79">
        <v>0.02</v>
      </c>
    </row>
    <row r="792" spans="1:6">
      <c r="A792" s="57">
        <v>8</v>
      </c>
      <c r="B792" s="78">
        <v>2024</v>
      </c>
      <c r="C792" s="79" t="s">
        <v>3364</v>
      </c>
      <c r="D792" s="79">
        <v>0</v>
      </c>
      <c r="E792" s="79">
        <v>0.02</v>
      </c>
      <c r="F792" s="79">
        <v>300.02</v>
      </c>
    </row>
    <row r="793" spans="1:6">
      <c r="A793" s="57">
        <v>9</v>
      </c>
      <c r="B793" s="78">
        <v>2024</v>
      </c>
      <c r="C793" s="79" t="s">
        <v>3364</v>
      </c>
      <c r="D793" s="79">
        <v>0</v>
      </c>
      <c r="E793" s="79">
        <v>300.02</v>
      </c>
      <c r="F793" s="79">
        <v>600.02</v>
      </c>
    </row>
    <row r="794" spans="1:6">
      <c r="A794" s="57">
        <v>10</v>
      </c>
      <c r="B794" s="78">
        <v>2024</v>
      </c>
      <c r="C794" s="79" t="s">
        <v>3364</v>
      </c>
      <c r="D794" s="79">
        <v>0</v>
      </c>
      <c r="E794" s="79">
        <v>600.02</v>
      </c>
      <c r="F794" s="79">
        <v>900.02</v>
      </c>
    </row>
    <row r="795" spans="1:6">
      <c r="A795" s="57">
        <v>1</v>
      </c>
      <c r="B795" s="78">
        <v>2024</v>
      </c>
      <c r="C795" s="79" t="s">
        <v>36</v>
      </c>
      <c r="D795" s="79">
        <v>0</v>
      </c>
      <c r="E795" s="79">
        <v>20</v>
      </c>
      <c r="F795" s="79">
        <v>20</v>
      </c>
    </row>
    <row r="796" spans="1:6">
      <c r="A796" s="57">
        <v>2</v>
      </c>
      <c r="B796" s="78">
        <v>2024</v>
      </c>
      <c r="C796" s="79" t="s">
        <v>36</v>
      </c>
      <c r="D796" s="79">
        <v>-70.569999999999993</v>
      </c>
      <c r="E796" s="79">
        <v>20</v>
      </c>
      <c r="F796" s="79">
        <v>34.430000000000007</v>
      </c>
    </row>
    <row r="797" spans="1:6">
      <c r="A797" s="57">
        <v>3</v>
      </c>
      <c r="B797" s="78">
        <v>2024</v>
      </c>
      <c r="C797" s="79" t="s">
        <v>36</v>
      </c>
      <c r="D797" s="79">
        <v>-67.3</v>
      </c>
      <c r="E797" s="79">
        <v>34.43</v>
      </c>
      <c r="F797" s="79">
        <v>52.13000000000001</v>
      </c>
    </row>
    <row r="798" spans="1:6">
      <c r="A798" s="57">
        <v>4</v>
      </c>
      <c r="B798" s="78">
        <v>2024</v>
      </c>
      <c r="C798" s="79" t="s">
        <v>36</v>
      </c>
      <c r="D798" s="79">
        <v>-60.97</v>
      </c>
      <c r="E798" s="79">
        <v>52.13</v>
      </c>
      <c r="F798" s="79">
        <v>76.16</v>
      </c>
    </row>
    <row r="799" spans="1:6">
      <c r="A799" s="57">
        <v>5</v>
      </c>
      <c r="B799" s="78">
        <v>2024</v>
      </c>
      <c r="C799" s="79" t="s">
        <v>36</v>
      </c>
      <c r="D799" s="79">
        <v>-98.97</v>
      </c>
      <c r="E799" s="79">
        <v>76.16</v>
      </c>
      <c r="F799" s="79">
        <v>62.19</v>
      </c>
    </row>
    <row r="800" spans="1:6">
      <c r="A800" s="57">
        <v>6</v>
      </c>
      <c r="B800" s="78">
        <v>2024</v>
      </c>
      <c r="C800" s="79" t="s">
        <v>36</v>
      </c>
      <c r="D800" s="79">
        <v>-57.8</v>
      </c>
      <c r="E800" s="79">
        <v>62.19</v>
      </c>
      <c r="F800" s="79">
        <v>89.39</v>
      </c>
    </row>
    <row r="801" spans="1:6">
      <c r="A801" s="57">
        <v>7</v>
      </c>
      <c r="B801" s="78">
        <v>2024</v>
      </c>
      <c r="C801" s="79" t="s">
        <v>36</v>
      </c>
      <c r="D801" s="79">
        <v>-60.97</v>
      </c>
      <c r="E801" s="79">
        <v>89.39</v>
      </c>
      <c r="F801" s="79">
        <v>113.42</v>
      </c>
    </row>
    <row r="802" spans="1:6">
      <c r="A802" s="57">
        <v>8</v>
      </c>
      <c r="B802" s="78">
        <v>2024</v>
      </c>
      <c r="C802" s="79" t="s">
        <v>36</v>
      </c>
      <c r="D802" s="79">
        <v>-73.64</v>
      </c>
      <c r="E802" s="79">
        <v>113.42</v>
      </c>
      <c r="F802" s="79">
        <v>124.78000000000002</v>
      </c>
    </row>
    <row r="803" spans="1:6">
      <c r="A803" s="57">
        <v>9</v>
      </c>
      <c r="B803" s="78">
        <v>2024</v>
      </c>
      <c r="C803" s="79" t="s">
        <v>36</v>
      </c>
      <c r="D803" s="79">
        <v>-102.14</v>
      </c>
      <c r="E803" s="79">
        <v>124.78</v>
      </c>
      <c r="F803" s="79">
        <v>107.64</v>
      </c>
    </row>
    <row r="804" spans="1:6">
      <c r="A804" s="57">
        <v>10</v>
      </c>
      <c r="B804" s="78">
        <v>2024</v>
      </c>
      <c r="C804" s="79" t="s">
        <v>36</v>
      </c>
      <c r="D804" s="79">
        <v>-263.11</v>
      </c>
      <c r="E804" s="79">
        <v>107.64</v>
      </c>
      <c r="F804" s="79">
        <v>-70.470000000000027</v>
      </c>
    </row>
    <row r="805" spans="1:6">
      <c r="A805" s="57">
        <v>11</v>
      </c>
      <c r="B805" s="78">
        <v>2024</v>
      </c>
      <c r="C805" s="79" t="s">
        <v>36</v>
      </c>
      <c r="D805" s="79">
        <v>12.700000000000005</v>
      </c>
      <c r="E805" s="79">
        <v>-70.47</v>
      </c>
      <c r="F805" s="79">
        <v>27.230000000000004</v>
      </c>
    </row>
    <row r="806" spans="1:6">
      <c r="A806" s="57">
        <v>12</v>
      </c>
      <c r="B806" s="78">
        <v>2024</v>
      </c>
      <c r="C806" s="79" t="s">
        <v>36</v>
      </c>
      <c r="D806" s="79">
        <v>-70.47</v>
      </c>
      <c r="E806" s="79">
        <v>27.23</v>
      </c>
      <c r="F806" s="79">
        <v>41.760000000000005</v>
      </c>
    </row>
    <row r="807" spans="1:6">
      <c r="A807" s="57">
        <v>1</v>
      </c>
      <c r="B807" s="78">
        <v>2025</v>
      </c>
      <c r="C807" s="79" t="s">
        <v>36</v>
      </c>
      <c r="D807" s="79">
        <v>-73.64</v>
      </c>
      <c r="E807" s="79">
        <v>41.76</v>
      </c>
      <c r="F807" s="79">
        <v>53.11999999999999</v>
      </c>
    </row>
    <row r="808" spans="1:6">
      <c r="A808" s="57">
        <v>2</v>
      </c>
      <c r="B808" s="78">
        <v>2025</v>
      </c>
      <c r="C808" s="79" t="s">
        <v>36</v>
      </c>
      <c r="D808" s="79">
        <v>-66.64</v>
      </c>
      <c r="E808" s="79">
        <v>53.12</v>
      </c>
      <c r="F808" s="79">
        <v>71.48</v>
      </c>
    </row>
    <row r="809" spans="1:6">
      <c r="A809" s="57">
        <v>3</v>
      </c>
      <c r="B809" s="78">
        <v>2025</v>
      </c>
      <c r="C809" s="79" t="s">
        <v>36</v>
      </c>
      <c r="D809" s="79">
        <v>-70.17</v>
      </c>
      <c r="E809" s="79">
        <v>71.48</v>
      </c>
      <c r="F809" s="79">
        <v>86.310000000000016</v>
      </c>
    </row>
    <row r="810" spans="1:6">
      <c r="A810" s="57">
        <v>4</v>
      </c>
      <c r="B810" s="78">
        <v>2025</v>
      </c>
      <c r="C810" s="79" t="s">
        <v>36</v>
      </c>
      <c r="D810" s="79">
        <v>-62.87</v>
      </c>
      <c r="E810" s="79">
        <v>86.31</v>
      </c>
      <c r="F810" s="79">
        <v>108.44</v>
      </c>
    </row>
    <row r="811" spans="1:6">
      <c r="A811" s="57">
        <v>5</v>
      </c>
      <c r="B811" s="78">
        <v>2025</v>
      </c>
      <c r="C811" s="79" t="s">
        <v>36</v>
      </c>
      <c r="D811" s="79">
        <v>-66.52</v>
      </c>
      <c r="E811" s="79">
        <v>108.44</v>
      </c>
      <c r="F811" s="79">
        <v>126.92</v>
      </c>
    </row>
    <row r="812" spans="1:6">
      <c r="A812" s="57">
        <v>6</v>
      </c>
      <c r="B812" s="78">
        <v>2025</v>
      </c>
      <c r="C812" s="79" t="s">
        <v>36</v>
      </c>
      <c r="D812" s="79">
        <v>-88.4</v>
      </c>
      <c r="E812" s="79">
        <v>126.92</v>
      </c>
      <c r="F812" s="79">
        <v>123.52</v>
      </c>
    </row>
    <row r="813" spans="1:6">
      <c r="A813" s="57">
        <v>7</v>
      </c>
      <c r="B813" s="78">
        <v>2025</v>
      </c>
      <c r="C813" s="79" t="s">
        <v>36</v>
      </c>
      <c r="D813" s="79">
        <v>-143.09</v>
      </c>
      <c r="E813" s="79">
        <v>123.52</v>
      </c>
      <c r="F813" s="79">
        <v>65.429999999999978</v>
      </c>
    </row>
    <row r="814" spans="1:6">
      <c r="A814" s="57">
        <v>8</v>
      </c>
      <c r="B814" s="78">
        <v>2025</v>
      </c>
      <c r="C814" s="79" t="s">
        <v>36</v>
      </c>
      <c r="D814" s="79">
        <v>-77.459999999999994</v>
      </c>
      <c r="E814" s="79">
        <v>65.430000000000007</v>
      </c>
      <c r="F814" s="79">
        <v>72.970000000000013</v>
      </c>
    </row>
    <row r="815" spans="1:6">
      <c r="A815" s="57">
        <v>9</v>
      </c>
      <c r="B815" s="78">
        <v>2025</v>
      </c>
      <c r="C815" s="79" t="s">
        <v>36</v>
      </c>
      <c r="D815" s="79">
        <v>-59.23</v>
      </c>
      <c r="E815" s="79">
        <v>72.97</v>
      </c>
      <c r="F815" s="79">
        <v>98.740000000000009</v>
      </c>
    </row>
    <row r="816" spans="1:6">
      <c r="A816" s="57">
        <v>10</v>
      </c>
      <c r="B816" s="78">
        <v>2025</v>
      </c>
      <c r="C816" s="79" t="s">
        <v>36</v>
      </c>
      <c r="D816" s="79">
        <v>-70.17</v>
      </c>
      <c r="E816" s="79">
        <v>98.74</v>
      </c>
      <c r="F816" s="79">
        <v>113.57000000000001</v>
      </c>
    </row>
    <row r="817" spans="1:6">
      <c r="A817" s="57">
        <v>11</v>
      </c>
      <c r="B817" s="78">
        <v>2025</v>
      </c>
      <c r="C817" s="79" t="s">
        <v>36</v>
      </c>
      <c r="D817" s="79">
        <v>-104.22999999999999</v>
      </c>
      <c r="E817" s="79">
        <v>113.57</v>
      </c>
      <c r="F817" s="79">
        <v>94.34</v>
      </c>
    </row>
    <row r="818" spans="1:6">
      <c r="A818" s="57">
        <v>12</v>
      </c>
      <c r="B818" s="78">
        <v>2025</v>
      </c>
      <c r="C818" s="79" t="s">
        <v>36</v>
      </c>
      <c r="D818" s="79">
        <v>0</v>
      </c>
      <c r="E818" s="79">
        <v>94.34</v>
      </c>
      <c r="F818" s="79">
        <v>179.34</v>
      </c>
    </row>
    <row r="819" spans="1:6">
      <c r="A819" s="57">
        <v>1</v>
      </c>
      <c r="B819" s="78">
        <v>2024</v>
      </c>
      <c r="C819" s="79" t="s">
        <v>58</v>
      </c>
      <c r="D819" s="79">
        <v>0</v>
      </c>
      <c r="E819" s="79">
        <v>62</v>
      </c>
      <c r="F819" s="79">
        <v>62</v>
      </c>
    </row>
    <row r="820" spans="1:6">
      <c r="A820" s="57">
        <v>2</v>
      </c>
      <c r="B820" s="78">
        <v>2024</v>
      </c>
      <c r="C820" s="79" t="s">
        <v>58</v>
      </c>
      <c r="D820" s="79">
        <v>-136.17000000000002</v>
      </c>
      <c r="E820" s="79">
        <v>62</v>
      </c>
      <c r="F820" s="79">
        <v>65.829999999999984</v>
      </c>
    </row>
    <row r="821" spans="1:6">
      <c r="A821" s="57">
        <v>3</v>
      </c>
      <c r="B821" s="78">
        <v>2024</v>
      </c>
      <c r="C821" s="79" t="s">
        <v>58</v>
      </c>
      <c r="D821" s="79">
        <v>-23.35</v>
      </c>
      <c r="E821" s="79">
        <v>65.83</v>
      </c>
      <c r="F821" s="79">
        <v>182.48</v>
      </c>
    </row>
    <row r="822" spans="1:6">
      <c r="A822" s="57">
        <v>4</v>
      </c>
      <c r="B822" s="78">
        <v>2024</v>
      </c>
      <c r="C822" s="79" t="s">
        <v>58</v>
      </c>
      <c r="D822" s="79">
        <v>-322.47999999999996</v>
      </c>
      <c r="E822" s="79">
        <v>182.48</v>
      </c>
      <c r="F822" s="79">
        <v>5.6843418860808027E-14</v>
      </c>
    </row>
    <row r="823" spans="1:6">
      <c r="A823" s="57">
        <v>5</v>
      </c>
      <c r="B823" s="78">
        <v>2024</v>
      </c>
      <c r="C823" s="79" t="s">
        <v>58</v>
      </c>
      <c r="D823" s="79">
        <v>-140</v>
      </c>
      <c r="E823" s="79">
        <v>5.6843418860808002E-14</v>
      </c>
      <c r="F823" s="79">
        <v>5.6843418860808027E-14</v>
      </c>
    </row>
    <row r="824" spans="1:6">
      <c r="A824" s="57">
        <v>6</v>
      </c>
      <c r="B824" s="78">
        <v>2024</v>
      </c>
      <c r="C824" s="79" t="s">
        <v>58</v>
      </c>
      <c r="D824" s="79">
        <v>-15.67</v>
      </c>
      <c r="E824" s="79">
        <v>5.6843418860808002E-14</v>
      </c>
      <c r="F824" s="79">
        <v>124.33000000000006</v>
      </c>
    </row>
    <row r="825" spans="1:6">
      <c r="A825" s="57">
        <v>7</v>
      </c>
      <c r="B825" s="78">
        <v>2024</v>
      </c>
      <c r="C825" s="79" t="s">
        <v>58</v>
      </c>
      <c r="D825" s="79">
        <v>-297.65999999999997</v>
      </c>
      <c r="E825" s="79">
        <v>124.33</v>
      </c>
      <c r="F825" s="79">
        <v>-33.329999999999984</v>
      </c>
    </row>
    <row r="826" spans="1:6">
      <c r="A826" s="57">
        <v>8</v>
      </c>
      <c r="B826" s="78">
        <v>2024</v>
      </c>
      <c r="C826" s="79" t="s">
        <v>58</v>
      </c>
      <c r="D826" s="79">
        <v>-107.4</v>
      </c>
      <c r="E826" s="79">
        <v>-33.33</v>
      </c>
      <c r="F826" s="79">
        <v>-0.73000000000000398</v>
      </c>
    </row>
    <row r="827" spans="1:6">
      <c r="A827" s="57">
        <v>9</v>
      </c>
      <c r="B827" s="78">
        <v>2024</v>
      </c>
      <c r="C827" s="79" t="s">
        <v>58</v>
      </c>
      <c r="D827" s="79">
        <v>-4.24</v>
      </c>
      <c r="E827" s="79">
        <v>-0.73000000000000398</v>
      </c>
      <c r="F827" s="79">
        <v>135.02999999999997</v>
      </c>
    </row>
    <row r="828" spans="1:6">
      <c r="A828" s="57">
        <v>10</v>
      </c>
      <c r="B828" s="78">
        <v>2024</v>
      </c>
      <c r="C828" s="79" t="s">
        <v>58</v>
      </c>
      <c r="D828" s="79">
        <v>-200.41</v>
      </c>
      <c r="E828" s="79">
        <v>135.03</v>
      </c>
      <c r="F828" s="79">
        <v>74.619999999999976</v>
      </c>
    </row>
    <row r="829" spans="1:6">
      <c r="A829" s="57">
        <v>11</v>
      </c>
      <c r="B829" s="78">
        <v>2024</v>
      </c>
      <c r="C829" s="79" t="s">
        <v>58</v>
      </c>
      <c r="D829" s="79">
        <v>-410.54</v>
      </c>
      <c r="E829" s="79">
        <v>74.62</v>
      </c>
      <c r="F829" s="79">
        <v>-195.92</v>
      </c>
    </row>
    <row r="830" spans="1:6">
      <c r="A830" s="57">
        <v>12</v>
      </c>
      <c r="B830" s="78">
        <v>2024</v>
      </c>
      <c r="C830" s="79" t="s">
        <v>58</v>
      </c>
      <c r="D830" s="79">
        <v>-45.4</v>
      </c>
      <c r="E830" s="79">
        <v>-195.92</v>
      </c>
      <c r="F830" s="79">
        <v>-101.32</v>
      </c>
    </row>
    <row r="831" spans="1:6">
      <c r="A831" s="57">
        <v>1</v>
      </c>
      <c r="B831" s="78">
        <v>2025</v>
      </c>
      <c r="C831" s="79" t="s">
        <v>58</v>
      </c>
      <c r="D831" s="79">
        <v>-155.47</v>
      </c>
      <c r="E831" s="79">
        <v>-101.32</v>
      </c>
      <c r="F831" s="79">
        <v>-116.79</v>
      </c>
    </row>
    <row r="832" spans="1:6">
      <c r="A832" s="57">
        <v>2</v>
      </c>
      <c r="B832" s="78">
        <v>2025</v>
      </c>
      <c r="C832" s="79" t="s">
        <v>58</v>
      </c>
      <c r="D832" s="79">
        <v>-114.58</v>
      </c>
      <c r="E832" s="79">
        <v>-116.79</v>
      </c>
      <c r="F832" s="79">
        <v>-91.370000000000019</v>
      </c>
    </row>
    <row r="833" spans="1:6">
      <c r="A833" s="57">
        <v>3</v>
      </c>
      <c r="B833" s="78">
        <v>2025</v>
      </c>
      <c r="C833" s="79" t="s">
        <v>58</v>
      </c>
      <c r="D833" s="79">
        <v>-122.21</v>
      </c>
      <c r="E833" s="79">
        <v>-91.37</v>
      </c>
      <c r="F833" s="79">
        <v>-73.58</v>
      </c>
    </row>
    <row r="834" spans="1:6">
      <c r="A834" s="57">
        <v>4</v>
      </c>
      <c r="B834" s="78">
        <v>2025</v>
      </c>
      <c r="C834" s="79" t="s">
        <v>58</v>
      </c>
      <c r="D834" s="79">
        <v>-107.01</v>
      </c>
      <c r="E834" s="79">
        <v>-73.58</v>
      </c>
      <c r="F834" s="79">
        <v>-40.590000000000003</v>
      </c>
    </row>
    <row r="835" spans="1:6">
      <c r="A835" s="57">
        <v>5</v>
      </c>
      <c r="B835" s="78">
        <v>2025</v>
      </c>
      <c r="C835" s="79" t="s">
        <v>58</v>
      </c>
      <c r="D835" s="79">
        <v>-38.36</v>
      </c>
      <c r="E835" s="79">
        <v>-40.590000000000003</v>
      </c>
      <c r="F835" s="79">
        <v>61.05</v>
      </c>
    </row>
    <row r="836" spans="1:6">
      <c r="A836" s="57">
        <v>6</v>
      </c>
      <c r="B836" s="78">
        <v>2025</v>
      </c>
      <c r="C836" s="79" t="s">
        <v>58</v>
      </c>
      <c r="D836" s="79">
        <v>-21.47</v>
      </c>
      <c r="E836" s="79">
        <v>61.05</v>
      </c>
      <c r="F836" s="79">
        <v>179.58</v>
      </c>
    </row>
    <row r="837" spans="1:6">
      <c r="A837" s="57">
        <v>7</v>
      </c>
      <c r="B837" s="78">
        <v>2025</v>
      </c>
      <c r="C837" s="79" t="s">
        <v>58</v>
      </c>
      <c r="D837" s="79">
        <v>-114.51999999999998</v>
      </c>
      <c r="E837" s="79">
        <v>179.58</v>
      </c>
      <c r="F837" s="79">
        <v>205.06000000000009</v>
      </c>
    </row>
    <row r="838" spans="1:6">
      <c r="A838" s="57">
        <v>8</v>
      </c>
      <c r="B838" s="78">
        <v>2025</v>
      </c>
      <c r="C838" s="79" t="s">
        <v>58</v>
      </c>
      <c r="D838" s="79">
        <v>-307.39</v>
      </c>
      <c r="E838" s="79">
        <v>205.06</v>
      </c>
      <c r="F838" s="79">
        <v>37.670000000000016</v>
      </c>
    </row>
    <row r="839" spans="1:6">
      <c r="A839" s="57">
        <v>9</v>
      </c>
      <c r="B839" s="78">
        <v>2025</v>
      </c>
      <c r="C839" s="79" t="s">
        <v>58</v>
      </c>
      <c r="D839" s="79">
        <v>-201.66</v>
      </c>
      <c r="E839" s="79">
        <v>37.67</v>
      </c>
      <c r="F839" s="79">
        <v>-23.989999999999981</v>
      </c>
    </row>
    <row r="840" spans="1:6">
      <c r="A840" s="57">
        <v>10</v>
      </c>
      <c r="B840" s="78">
        <v>2025</v>
      </c>
      <c r="C840" s="79" t="s">
        <v>58</v>
      </c>
      <c r="D840" s="79">
        <v>-59.58</v>
      </c>
      <c r="E840" s="79">
        <v>-23.99</v>
      </c>
      <c r="F840" s="79">
        <v>56.430000000000007</v>
      </c>
    </row>
    <row r="841" spans="1:6">
      <c r="A841" s="57">
        <v>11</v>
      </c>
      <c r="B841" s="78">
        <v>2025</v>
      </c>
      <c r="C841" s="79" t="s">
        <v>58</v>
      </c>
      <c r="D841" s="79">
        <v>-159.26999999999998</v>
      </c>
      <c r="E841" s="79">
        <v>56.43</v>
      </c>
      <c r="F841" s="79">
        <v>37.160000000000025</v>
      </c>
    </row>
    <row r="842" spans="1:6">
      <c r="A842" s="57">
        <v>12</v>
      </c>
      <c r="B842" s="78">
        <v>2025</v>
      </c>
      <c r="C842" s="79" t="s">
        <v>58</v>
      </c>
      <c r="D842" s="79">
        <v>0</v>
      </c>
      <c r="E842" s="79">
        <v>37.159999999999997</v>
      </c>
      <c r="F842" s="79">
        <v>177.16</v>
      </c>
    </row>
    <row r="843" spans="1:6">
      <c r="A843" s="57">
        <v>1</v>
      </c>
      <c r="B843" s="78">
        <v>2024</v>
      </c>
      <c r="C843" s="79" t="s">
        <v>42</v>
      </c>
      <c r="D843" s="79">
        <v>0</v>
      </c>
      <c r="E843" s="79">
        <v>0</v>
      </c>
      <c r="F843" s="79">
        <v>0</v>
      </c>
    </row>
    <row r="844" spans="1:6">
      <c r="A844" s="57">
        <v>2</v>
      </c>
      <c r="B844" s="78">
        <v>2024</v>
      </c>
      <c r="C844" s="79" t="s">
        <v>42</v>
      </c>
      <c r="D844" s="79">
        <v>-25.98</v>
      </c>
      <c r="E844" s="79">
        <v>0</v>
      </c>
      <c r="F844" s="79">
        <v>-17.32</v>
      </c>
    </row>
    <row r="845" spans="1:6">
      <c r="A845" s="57">
        <v>3</v>
      </c>
      <c r="B845" s="78">
        <v>2024</v>
      </c>
      <c r="C845" s="79" t="s">
        <v>42</v>
      </c>
      <c r="D845" s="79">
        <v>-25.98</v>
      </c>
      <c r="E845" s="79">
        <v>-17.32</v>
      </c>
      <c r="F845" s="79">
        <v>-34.64</v>
      </c>
    </row>
    <row r="846" spans="1:6">
      <c r="A846" s="57">
        <v>4</v>
      </c>
      <c r="B846" s="78">
        <v>2024</v>
      </c>
      <c r="C846" s="79" t="s">
        <v>42</v>
      </c>
      <c r="D846" s="79">
        <v>428.1</v>
      </c>
      <c r="E846" s="79">
        <v>-34.64</v>
      </c>
      <c r="F846" s="79">
        <v>402.11999999999995</v>
      </c>
    </row>
    <row r="847" spans="1:6">
      <c r="A847" s="57">
        <v>5</v>
      </c>
      <c r="B847" s="78">
        <v>2024</v>
      </c>
      <c r="C847" s="79" t="s">
        <v>42</v>
      </c>
      <c r="D847" s="79">
        <v>-25.98</v>
      </c>
      <c r="E847" s="79">
        <v>402.12</v>
      </c>
      <c r="F847" s="79">
        <v>384.8</v>
      </c>
    </row>
    <row r="848" spans="1:6">
      <c r="A848" s="57">
        <v>6</v>
      </c>
      <c r="B848" s="78">
        <v>2024</v>
      </c>
      <c r="C848" s="79" t="s">
        <v>42</v>
      </c>
      <c r="D848" s="79">
        <v>-49.7</v>
      </c>
      <c r="E848" s="79">
        <v>384.8</v>
      </c>
      <c r="F848" s="79">
        <v>343.76000000000005</v>
      </c>
    </row>
    <row r="849" spans="1:6">
      <c r="A849" s="57">
        <v>7</v>
      </c>
      <c r="B849" s="78">
        <v>2024</v>
      </c>
      <c r="C849" s="79" t="s">
        <v>42</v>
      </c>
      <c r="D849" s="79">
        <v>-15.76</v>
      </c>
      <c r="E849" s="79">
        <v>343.76</v>
      </c>
      <c r="F849" s="79">
        <v>336.66</v>
      </c>
    </row>
    <row r="850" spans="1:6">
      <c r="A850" s="57">
        <v>8</v>
      </c>
      <c r="B850" s="78">
        <v>2024</v>
      </c>
      <c r="C850" s="79" t="s">
        <v>42</v>
      </c>
      <c r="D850" s="79">
        <v>-25.98</v>
      </c>
      <c r="E850" s="79">
        <v>336.66</v>
      </c>
      <c r="F850" s="79">
        <v>319.34000000000003</v>
      </c>
    </row>
    <row r="851" spans="1:6">
      <c r="A851" s="57">
        <v>9</v>
      </c>
      <c r="B851" s="78">
        <v>2024</v>
      </c>
      <c r="C851" s="79" t="s">
        <v>42</v>
      </c>
      <c r="D851" s="79">
        <v>-25.98</v>
      </c>
      <c r="E851" s="79">
        <v>319.33999999999997</v>
      </c>
      <c r="F851" s="79">
        <v>302.02</v>
      </c>
    </row>
    <row r="852" spans="1:6">
      <c r="A852" s="57">
        <v>10</v>
      </c>
      <c r="B852" s="78">
        <v>2024</v>
      </c>
      <c r="C852" s="79" t="s">
        <v>42</v>
      </c>
      <c r="D852" s="79">
        <v>-25.98</v>
      </c>
      <c r="E852" s="79">
        <v>302.02</v>
      </c>
      <c r="F852" s="79">
        <v>284.7</v>
      </c>
    </row>
    <row r="853" spans="1:6">
      <c r="A853" s="57">
        <v>11</v>
      </c>
      <c r="B853" s="78">
        <v>2024</v>
      </c>
      <c r="C853" s="79" t="s">
        <v>42</v>
      </c>
      <c r="D853" s="79">
        <v>-25.98</v>
      </c>
      <c r="E853" s="79">
        <v>284.7</v>
      </c>
      <c r="F853" s="79">
        <v>267.38</v>
      </c>
    </row>
    <row r="854" spans="1:6">
      <c r="A854" s="57">
        <v>12</v>
      </c>
      <c r="B854" s="78">
        <v>2024</v>
      </c>
      <c r="C854" s="79" t="s">
        <v>42</v>
      </c>
      <c r="D854" s="79">
        <v>-25.98</v>
      </c>
      <c r="E854" s="79">
        <v>267.38</v>
      </c>
      <c r="F854" s="79">
        <v>250.06000000000003</v>
      </c>
    </row>
    <row r="855" spans="1:6">
      <c r="A855" s="57">
        <v>1</v>
      </c>
      <c r="B855" s="78">
        <v>2025</v>
      </c>
      <c r="C855" s="79" t="s">
        <v>42</v>
      </c>
      <c r="D855" s="79">
        <v>-25.98</v>
      </c>
      <c r="E855" s="79">
        <v>250.06</v>
      </c>
      <c r="F855" s="79">
        <v>232.74000000000004</v>
      </c>
    </row>
    <row r="856" spans="1:6">
      <c r="A856" s="57">
        <v>2</v>
      </c>
      <c r="B856" s="78">
        <v>2025</v>
      </c>
      <c r="C856" s="79" t="s">
        <v>42</v>
      </c>
      <c r="D856" s="79">
        <v>-25.98</v>
      </c>
      <c r="E856" s="79">
        <v>232.74</v>
      </c>
      <c r="F856" s="79">
        <v>215.42</v>
      </c>
    </row>
    <row r="857" spans="1:6">
      <c r="A857" s="57">
        <v>3</v>
      </c>
      <c r="B857" s="78">
        <v>2025</v>
      </c>
      <c r="C857" s="79" t="s">
        <v>42</v>
      </c>
      <c r="D857" s="79">
        <v>-25.98</v>
      </c>
      <c r="E857" s="79">
        <v>215.42</v>
      </c>
      <c r="F857" s="79">
        <v>198.1</v>
      </c>
    </row>
    <row r="858" spans="1:6">
      <c r="A858" s="57">
        <v>4</v>
      </c>
      <c r="B858" s="78">
        <v>2025</v>
      </c>
      <c r="C858" s="79" t="s">
        <v>42</v>
      </c>
      <c r="D858" s="79">
        <v>-25.98</v>
      </c>
      <c r="E858" s="79">
        <v>198.1</v>
      </c>
      <c r="F858" s="79">
        <v>180.78</v>
      </c>
    </row>
    <row r="859" spans="1:6">
      <c r="A859" s="57">
        <v>5</v>
      </c>
      <c r="B859" s="78">
        <v>2025</v>
      </c>
      <c r="C859" s="79" t="s">
        <v>42</v>
      </c>
      <c r="D859" s="79">
        <v>-25.98</v>
      </c>
      <c r="E859" s="79">
        <v>180.78</v>
      </c>
      <c r="F859" s="79">
        <v>163.46</v>
      </c>
    </row>
    <row r="860" spans="1:6">
      <c r="A860" s="57">
        <v>6</v>
      </c>
      <c r="B860" s="78">
        <v>2025</v>
      </c>
      <c r="C860" s="79" t="s">
        <v>42</v>
      </c>
      <c r="D860" s="79">
        <v>203.02</v>
      </c>
      <c r="E860" s="79">
        <v>163.46</v>
      </c>
      <c r="F860" s="79">
        <v>375.14</v>
      </c>
    </row>
    <row r="861" spans="1:6">
      <c r="A861" s="57">
        <v>7</v>
      </c>
      <c r="B861" s="78">
        <v>2025</v>
      </c>
      <c r="C861" s="79" t="s">
        <v>42</v>
      </c>
      <c r="D861" s="79">
        <v>-12.850000000000009</v>
      </c>
      <c r="E861" s="79">
        <v>375.14</v>
      </c>
      <c r="F861" s="79">
        <v>370.95</v>
      </c>
    </row>
    <row r="862" spans="1:6">
      <c r="A862" s="57">
        <v>8</v>
      </c>
      <c r="B862" s="78">
        <v>2025</v>
      </c>
      <c r="C862" s="79" t="s">
        <v>42</v>
      </c>
      <c r="D862" s="79">
        <v>-25.98</v>
      </c>
      <c r="E862" s="79">
        <v>370.95</v>
      </c>
      <c r="F862" s="79">
        <v>353.63</v>
      </c>
    </row>
    <row r="863" spans="1:6">
      <c r="A863" s="57">
        <v>9</v>
      </c>
      <c r="B863" s="78">
        <v>2025</v>
      </c>
      <c r="C863" s="79" t="s">
        <v>42</v>
      </c>
      <c r="D863" s="79">
        <v>-25.98</v>
      </c>
      <c r="E863" s="79">
        <v>353.63</v>
      </c>
      <c r="F863" s="79">
        <v>336.31</v>
      </c>
    </row>
    <row r="864" spans="1:6">
      <c r="A864" s="57">
        <v>10</v>
      </c>
      <c r="B864" s="78">
        <v>2025</v>
      </c>
      <c r="C864" s="79" t="s">
        <v>42</v>
      </c>
      <c r="D864" s="79">
        <v>-25.98</v>
      </c>
      <c r="E864" s="79">
        <v>336.31</v>
      </c>
      <c r="F864" s="79">
        <v>318.99</v>
      </c>
    </row>
    <row r="865" spans="1:6">
      <c r="A865" s="57">
        <v>11</v>
      </c>
      <c r="B865" s="78">
        <v>2025</v>
      </c>
      <c r="C865" s="79" t="s">
        <v>42</v>
      </c>
      <c r="D865" s="79">
        <v>-25.98</v>
      </c>
      <c r="E865" s="79">
        <v>318.99</v>
      </c>
      <c r="F865" s="79">
        <v>301.67</v>
      </c>
    </row>
    <row r="866" spans="1:6">
      <c r="A866" s="57">
        <v>12</v>
      </c>
      <c r="B866" s="78">
        <v>2025</v>
      </c>
      <c r="C866" s="79" t="s">
        <v>42</v>
      </c>
      <c r="D866" s="79">
        <v>0</v>
      </c>
      <c r="E866" s="79">
        <v>301.67</v>
      </c>
      <c r="F866" s="79">
        <v>310.33000000000004</v>
      </c>
    </row>
    <row r="867" spans="1:6">
      <c r="A867" s="57">
        <v>1</v>
      </c>
      <c r="B867" s="78">
        <v>2024</v>
      </c>
      <c r="C867" s="79" t="s">
        <v>15</v>
      </c>
      <c r="D867" s="79">
        <v>0</v>
      </c>
      <c r="E867" s="79"/>
      <c r="F867" s="79"/>
    </row>
    <row r="868" spans="1:6">
      <c r="A868" s="57">
        <v>1</v>
      </c>
      <c r="B868" s="78">
        <v>2024</v>
      </c>
      <c r="C868" s="79" t="s">
        <v>31</v>
      </c>
      <c r="D868" s="79">
        <v>0</v>
      </c>
      <c r="E868" s="79">
        <v>1769.34</v>
      </c>
      <c r="F868" s="79">
        <v>1769.34</v>
      </c>
    </row>
    <row r="869" spans="1:6">
      <c r="A869" s="57">
        <v>2</v>
      </c>
      <c r="B869" s="78">
        <v>2024</v>
      </c>
      <c r="C869" s="79" t="s">
        <v>31</v>
      </c>
      <c r="D869" s="79">
        <v>-514.22</v>
      </c>
      <c r="E869" s="79">
        <v>1769.34</v>
      </c>
      <c r="F869" s="79">
        <v>1255.1300000000001</v>
      </c>
    </row>
    <row r="870" spans="1:6">
      <c r="A870" s="57">
        <v>3</v>
      </c>
      <c r="B870" s="78">
        <v>2024</v>
      </c>
      <c r="C870" s="79" t="s">
        <v>31</v>
      </c>
      <c r="D870" s="79">
        <v>-1515.37</v>
      </c>
      <c r="E870" s="79">
        <v>1255.1300000000001</v>
      </c>
      <c r="F870" s="79">
        <v>-60.240000000000009</v>
      </c>
    </row>
    <row r="871" spans="1:6">
      <c r="A871" s="57">
        <v>4</v>
      </c>
      <c r="B871" s="78">
        <v>2024</v>
      </c>
      <c r="C871" s="79" t="s">
        <v>31</v>
      </c>
      <c r="D871" s="79">
        <v>0</v>
      </c>
      <c r="E871" s="79">
        <v>-60.24</v>
      </c>
      <c r="F871" s="79">
        <v>139.76</v>
      </c>
    </row>
    <row r="872" spans="1:6">
      <c r="A872" s="57">
        <v>5</v>
      </c>
      <c r="B872" s="78">
        <v>2024</v>
      </c>
      <c r="C872" s="79" t="s">
        <v>31</v>
      </c>
      <c r="D872" s="79">
        <v>0</v>
      </c>
      <c r="E872" s="79">
        <v>139.76</v>
      </c>
      <c r="F872" s="79">
        <v>339.76</v>
      </c>
    </row>
    <row r="873" spans="1:6">
      <c r="A873" s="57">
        <v>6</v>
      </c>
      <c r="B873" s="78">
        <v>2024</v>
      </c>
      <c r="C873" s="79" t="s">
        <v>31</v>
      </c>
      <c r="D873" s="79">
        <v>0</v>
      </c>
      <c r="E873" s="79">
        <v>339.76</v>
      </c>
      <c r="F873" s="79">
        <v>539.76</v>
      </c>
    </row>
    <row r="874" spans="1:6">
      <c r="A874" s="57">
        <v>7</v>
      </c>
      <c r="B874" s="78">
        <v>2024</v>
      </c>
      <c r="C874" s="79" t="s">
        <v>31</v>
      </c>
      <c r="D874" s="79">
        <v>-332.12</v>
      </c>
      <c r="E874" s="79">
        <v>539.76</v>
      </c>
      <c r="F874" s="79">
        <v>407.64</v>
      </c>
    </row>
    <row r="875" spans="1:6">
      <c r="A875" s="57">
        <v>8</v>
      </c>
      <c r="B875" s="78">
        <v>2024</v>
      </c>
      <c r="C875" s="79" t="s">
        <v>31</v>
      </c>
      <c r="D875" s="79">
        <v>0</v>
      </c>
      <c r="E875" s="79">
        <v>407.64</v>
      </c>
      <c r="F875" s="79">
        <v>607.64</v>
      </c>
    </row>
    <row r="876" spans="1:6">
      <c r="A876" s="57">
        <v>9</v>
      </c>
      <c r="B876" s="78">
        <v>2024</v>
      </c>
      <c r="C876" s="79" t="s">
        <v>31</v>
      </c>
      <c r="D876" s="79">
        <v>0</v>
      </c>
      <c r="E876" s="79">
        <v>607.64</v>
      </c>
      <c r="F876" s="79">
        <v>807.64</v>
      </c>
    </row>
    <row r="877" spans="1:6">
      <c r="A877" s="57">
        <v>10</v>
      </c>
      <c r="B877" s="78">
        <v>2024</v>
      </c>
      <c r="C877" s="79" t="s">
        <v>31</v>
      </c>
      <c r="D877" s="79">
        <v>-1077.7299999999998</v>
      </c>
      <c r="E877" s="79">
        <v>807.64</v>
      </c>
      <c r="F877" s="79">
        <v>-70.089999999999804</v>
      </c>
    </row>
    <row r="878" spans="1:6">
      <c r="A878" s="57">
        <v>11</v>
      </c>
      <c r="B878" s="78">
        <v>2024</v>
      </c>
      <c r="C878" s="79" t="s">
        <v>31</v>
      </c>
      <c r="D878" s="79">
        <v>0</v>
      </c>
      <c r="E878" s="79">
        <v>-70.089999999999804</v>
      </c>
      <c r="F878" s="79">
        <v>129.9100000000002</v>
      </c>
    </row>
    <row r="879" spans="1:6">
      <c r="A879" s="57">
        <v>12</v>
      </c>
      <c r="B879" s="78">
        <v>2024</v>
      </c>
      <c r="C879" s="79" t="s">
        <v>31</v>
      </c>
      <c r="D879" s="79">
        <v>336.07000000000016</v>
      </c>
      <c r="E879" s="79">
        <v>129.91</v>
      </c>
      <c r="F879" s="79">
        <v>665.98000000000013</v>
      </c>
    </row>
    <row r="880" spans="1:6">
      <c r="A880" s="57">
        <v>1</v>
      </c>
      <c r="B880" s="78">
        <v>2025</v>
      </c>
      <c r="C880" s="79" t="s">
        <v>31</v>
      </c>
      <c r="D880" s="79">
        <v>0</v>
      </c>
      <c r="E880" s="79">
        <v>665.98</v>
      </c>
      <c r="F880" s="79">
        <v>865.98</v>
      </c>
    </row>
    <row r="881" spans="1:6">
      <c r="A881" s="57">
        <v>2</v>
      </c>
      <c r="B881" s="78">
        <v>2025</v>
      </c>
      <c r="C881" s="79" t="s">
        <v>31</v>
      </c>
      <c r="D881" s="79">
        <v>0</v>
      </c>
      <c r="E881" s="79">
        <v>865.98</v>
      </c>
      <c r="F881" s="79">
        <v>1065.98</v>
      </c>
    </row>
    <row r="882" spans="1:6">
      <c r="A882" s="57">
        <v>3</v>
      </c>
      <c r="B882" s="78">
        <v>2025</v>
      </c>
      <c r="C882" s="79" t="s">
        <v>31</v>
      </c>
      <c r="D882" s="79">
        <v>-292.76000000000005</v>
      </c>
      <c r="E882" s="79">
        <v>1065.98</v>
      </c>
      <c r="F882" s="79">
        <v>973.22</v>
      </c>
    </row>
    <row r="883" spans="1:6">
      <c r="A883" s="57">
        <v>4</v>
      </c>
      <c r="B883" s="78">
        <v>2025</v>
      </c>
      <c r="C883" s="79" t="s">
        <v>31</v>
      </c>
      <c r="D883" s="79">
        <v>-648.35</v>
      </c>
      <c r="E883" s="79">
        <v>973.22</v>
      </c>
      <c r="F883" s="79">
        <v>524.87</v>
      </c>
    </row>
    <row r="884" spans="1:6">
      <c r="A884" s="57">
        <v>5</v>
      </c>
      <c r="B884" s="78">
        <v>2025</v>
      </c>
      <c r="C884" s="79" t="s">
        <v>31</v>
      </c>
      <c r="D884" s="79">
        <v>0</v>
      </c>
      <c r="E884" s="79">
        <v>524.87</v>
      </c>
      <c r="F884" s="79">
        <v>724.87</v>
      </c>
    </row>
    <row r="885" spans="1:6">
      <c r="A885" s="57">
        <v>6</v>
      </c>
      <c r="B885" s="78">
        <v>2025</v>
      </c>
      <c r="C885" s="79" t="s">
        <v>31</v>
      </c>
      <c r="D885" s="79">
        <v>-330.88</v>
      </c>
      <c r="E885" s="79">
        <v>724.87</v>
      </c>
      <c r="F885" s="79">
        <v>593.99</v>
      </c>
    </row>
    <row r="886" spans="1:6">
      <c r="A886" s="57">
        <v>7</v>
      </c>
      <c r="B886" s="78">
        <v>2025</v>
      </c>
      <c r="C886" s="79" t="s">
        <v>31</v>
      </c>
      <c r="D886" s="79">
        <v>-195.28000000000009</v>
      </c>
      <c r="E886" s="79">
        <v>593.99</v>
      </c>
      <c r="F886" s="79">
        <v>598.70999999999992</v>
      </c>
    </row>
    <row r="887" spans="1:6">
      <c r="A887" s="57">
        <v>8</v>
      </c>
      <c r="B887" s="78">
        <v>2025</v>
      </c>
      <c r="C887" s="79" t="s">
        <v>31</v>
      </c>
      <c r="D887" s="79">
        <v>-875.72999999999979</v>
      </c>
      <c r="E887" s="79">
        <v>598.71</v>
      </c>
      <c r="F887" s="79">
        <v>-77.019999999999754</v>
      </c>
    </row>
    <row r="888" spans="1:6">
      <c r="A888" s="57">
        <v>9</v>
      </c>
      <c r="B888" s="78">
        <v>2025</v>
      </c>
      <c r="C888" s="79" t="s">
        <v>31</v>
      </c>
      <c r="D888" s="79">
        <v>228.78</v>
      </c>
      <c r="E888" s="79">
        <v>-77.019999999999797</v>
      </c>
      <c r="F888" s="79">
        <v>351.76000000000022</v>
      </c>
    </row>
    <row r="889" spans="1:6">
      <c r="A889" s="57">
        <v>10</v>
      </c>
      <c r="B889" s="78">
        <v>2025</v>
      </c>
      <c r="C889" s="79" t="s">
        <v>31</v>
      </c>
      <c r="D889" s="79">
        <v>-1544.94</v>
      </c>
      <c r="E889" s="79">
        <v>351.76</v>
      </c>
      <c r="F889" s="79">
        <v>-993.18000000000006</v>
      </c>
    </row>
    <row r="890" spans="1:6">
      <c r="A890" s="57">
        <v>11</v>
      </c>
      <c r="B890" s="78">
        <v>2025</v>
      </c>
      <c r="C890" s="79" t="s">
        <v>31</v>
      </c>
      <c r="D890" s="79">
        <v>914.7</v>
      </c>
      <c r="E890" s="79">
        <v>-993.18</v>
      </c>
      <c r="F890" s="79">
        <v>121.5200000000001</v>
      </c>
    </row>
    <row r="891" spans="1:6">
      <c r="A891" s="57">
        <v>12</v>
      </c>
      <c r="B891" s="78">
        <v>2025</v>
      </c>
      <c r="C891" s="79" t="s">
        <v>31</v>
      </c>
      <c r="D891" s="79">
        <v>0</v>
      </c>
      <c r="E891" s="79">
        <v>121.52</v>
      </c>
      <c r="F891" s="79">
        <v>321.52</v>
      </c>
    </row>
    <row r="892" spans="1:6">
      <c r="A892" s="57">
        <v>1</v>
      </c>
      <c r="B892" s="78">
        <v>2024</v>
      </c>
      <c r="C892" s="79" t="s">
        <v>45</v>
      </c>
      <c r="D892" s="79">
        <v>0</v>
      </c>
      <c r="E892" s="79">
        <v>14</v>
      </c>
      <c r="F892" s="79">
        <v>14</v>
      </c>
    </row>
    <row r="893" spans="1:6">
      <c r="A893" s="57">
        <v>2</v>
      </c>
      <c r="B893" s="78">
        <v>2024</v>
      </c>
      <c r="C893" s="79" t="s">
        <v>45</v>
      </c>
      <c r="D893" s="79">
        <v>-60.91</v>
      </c>
      <c r="E893" s="79">
        <v>14</v>
      </c>
      <c r="F893" s="79">
        <v>-6.9099999999999966</v>
      </c>
    </row>
    <row r="894" spans="1:6">
      <c r="A894" s="57">
        <v>3</v>
      </c>
      <c r="B894" s="78">
        <v>2024</v>
      </c>
      <c r="C894" s="79" t="s">
        <v>45</v>
      </c>
      <c r="D894" s="79">
        <v>0</v>
      </c>
      <c r="E894" s="79">
        <v>-6.91</v>
      </c>
      <c r="F894" s="79">
        <v>33.090000000000003</v>
      </c>
    </row>
    <row r="895" spans="1:6">
      <c r="A895" s="57">
        <v>4</v>
      </c>
      <c r="B895" s="78">
        <v>2024</v>
      </c>
      <c r="C895" s="79" t="s">
        <v>45</v>
      </c>
      <c r="D895" s="79">
        <v>-33.28</v>
      </c>
      <c r="E895" s="79">
        <v>33.090000000000003</v>
      </c>
      <c r="F895" s="79">
        <v>39.81</v>
      </c>
    </row>
    <row r="896" spans="1:6">
      <c r="A896" s="57">
        <v>5</v>
      </c>
      <c r="B896" s="78">
        <v>2024</v>
      </c>
      <c r="C896" s="79" t="s">
        <v>45</v>
      </c>
      <c r="D896" s="79">
        <v>-49.72</v>
      </c>
      <c r="E896" s="79">
        <v>39.81</v>
      </c>
      <c r="F896" s="79">
        <v>30.090000000000003</v>
      </c>
    </row>
    <row r="897" spans="1:6">
      <c r="A897" s="57">
        <v>6</v>
      </c>
      <c r="B897" s="78">
        <v>2024</v>
      </c>
      <c r="C897" s="79" t="s">
        <v>45</v>
      </c>
      <c r="D897" s="79">
        <v>-73.240000000000009</v>
      </c>
      <c r="E897" s="79">
        <v>30.09</v>
      </c>
      <c r="F897" s="79">
        <v>-3.1500000000000057</v>
      </c>
    </row>
    <row r="898" spans="1:6">
      <c r="A898" s="57">
        <v>7</v>
      </c>
      <c r="B898" s="78">
        <v>2024</v>
      </c>
      <c r="C898" s="79" t="s">
        <v>45</v>
      </c>
      <c r="D898" s="79">
        <v>-90.06</v>
      </c>
      <c r="E898" s="79">
        <v>-3.1500000000000101</v>
      </c>
      <c r="F898" s="79">
        <v>-53.210000000000015</v>
      </c>
    </row>
    <row r="899" spans="1:6">
      <c r="A899" s="57">
        <v>8</v>
      </c>
      <c r="B899" s="78">
        <v>2024</v>
      </c>
      <c r="C899" s="79" t="s">
        <v>45</v>
      </c>
      <c r="D899" s="79">
        <v>-61.02</v>
      </c>
      <c r="E899" s="79">
        <v>-53.21</v>
      </c>
      <c r="F899" s="79">
        <v>-74.23</v>
      </c>
    </row>
    <row r="900" spans="1:6">
      <c r="A900" s="57">
        <v>9</v>
      </c>
      <c r="B900" s="78">
        <v>2024</v>
      </c>
      <c r="C900" s="79" t="s">
        <v>45</v>
      </c>
      <c r="D900" s="79">
        <v>34.229999999999997</v>
      </c>
      <c r="E900" s="79">
        <v>-74.23</v>
      </c>
      <c r="F900" s="79">
        <v>-7.1054273576010019E-15</v>
      </c>
    </row>
    <row r="901" spans="1:6">
      <c r="A901" s="57">
        <v>10</v>
      </c>
      <c r="B901" s="78">
        <v>2024</v>
      </c>
      <c r="C901" s="79" t="s">
        <v>45</v>
      </c>
      <c r="D901" s="79">
        <v>0</v>
      </c>
      <c r="E901" s="79">
        <v>-7.1054273576010003E-15</v>
      </c>
      <c r="F901" s="79">
        <v>65</v>
      </c>
    </row>
    <row r="902" spans="1:6">
      <c r="A902" s="57">
        <v>11</v>
      </c>
      <c r="B902" s="78">
        <v>2024</v>
      </c>
      <c r="C902" s="79" t="s">
        <v>45</v>
      </c>
      <c r="D902" s="79">
        <v>-138.05000000000001</v>
      </c>
      <c r="E902" s="79">
        <v>65</v>
      </c>
      <c r="F902" s="79">
        <v>-8.0500000000000114</v>
      </c>
    </row>
    <row r="903" spans="1:6">
      <c r="A903" s="57">
        <v>12</v>
      </c>
      <c r="B903" s="78">
        <v>2024</v>
      </c>
      <c r="C903" s="79" t="s">
        <v>45</v>
      </c>
      <c r="D903" s="79">
        <v>-32</v>
      </c>
      <c r="E903" s="79">
        <v>-8.0500000000000096</v>
      </c>
      <c r="F903" s="79">
        <v>24.949999999999989</v>
      </c>
    </row>
    <row r="904" spans="1:6">
      <c r="A904" s="57">
        <v>1</v>
      </c>
      <c r="B904" s="78">
        <v>2025</v>
      </c>
      <c r="C904" s="79" t="s">
        <v>45</v>
      </c>
      <c r="D904" s="79">
        <v>-72.87</v>
      </c>
      <c r="E904" s="79">
        <v>24.95</v>
      </c>
      <c r="F904" s="79">
        <v>17.079999999999998</v>
      </c>
    </row>
    <row r="905" spans="1:6">
      <c r="A905" s="57">
        <v>2</v>
      </c>
      <c r="B905" s="78">
        <v>2025</v>
      </c>
      <c r="C905" s="79" t="s">
        <v>45</v>
      </c>
      <c r="D905" s="79">
        <v>-33.89</v>
      </c>
      <c r="E905" s="79">
        <v>17.079999999999998</v>
      </c>
      <c r="F905" s="79">
        <v>48.19</v>
      </c>
    </row>
    <row r="906" spans="1:6">
      <c r="A906" s="57">
        <v>3</v>
      </c>
      <c r="B906" s="78">
        <v>2025</v>
      </c>
      <c r="C906" s="79" t="s">
        <v>45</v>
      </c>
      <c r="D906" s="79">
        <v>-207.83</v>
      </c>
      <c r="E906" s="79">
        <v>48.19</v>
      </c>
      <c r="F906" s="79">
        <v>-94.64</v>
      </c>
    </row>
    <row r="907" spans="1:6">
      <c r="A907" s="57">
        <v>4</v>
      </c>
      <c r="B907" s="78">
        <v>2025</v>
      </c>
      <c r="C907" s="79" t="s">
        <v>45</v>
      </c>
      <c r="D907" s="79">
        <v>0</v>
      </c>
      <c r="E907" s="79">
        <v>-94.64</v>
      </c>
      <c r="F907" s="79">
        <v>-29.64</v>
      </c>
    </row>
    <row r="908" spans="1:6">
      <c r="A908" s="57">
        <v>5</v>
      </c>
      <c r="B908" s="78">
        <v>2025</v>
      </c>
      <c r="C908" s="79" t="s">
        <v>45</v>
      </c>
      <c r="D908" s="79">
        <v>-106.96</v>
      </c>
      <c r="E908" s="79">
        <v>-29.64</v>
      </c>
      <c r="F908" s="79">
        <v>-71.600000000000009</v>
      </c>
    </row>
    <row r="909" spans="1:6">
      <c r="A909" s="57">
        <v>6</v>
      </c>
      <c r="B909" s="78">
        <v>2025</v>
      </c>
      <c r="C909" s="79" t="s">
        <v>45</v>
      </c>
      <c r="D909" s="79">
        <v>-173.42000000000002</v>
      </c>
      <c r="E909" s="79">
        <v>-71.599999999999994</v>
      </c>
      <c r="F909" s="79">
        <v>-180.02</v>
      </c>
    </row>
    <row r="910" spans="1:6">
      <c r="A910" s="57">
        <v>7</v>
      </c>
      <c r="B910" s="78">
        <v>2025</v>
      </c>
      <c r="C910" s="79" t="s">
        <v>45</v>
      </c>
      <c r="D910" s="79">
        <v>22.660000000000014</v>
      </c>
      <c r="E910" s="79">
        <v>-180.02</v>
      </c>
      <c r="F910" s="79">
        <v>-92.36</v>
      </c>
    </row>
    <row r="911" spans="1:6">
      <c r="A911" s="57">
        <v>8</v>
      </c>
      <c r="B911" s="78">
        <v>2025</v>
      </c>
      <c r="C911" s="79" t="s">
        <v>45</v>
      </c>
      <c r="D911" s="79">
        <v>0</v>
      </c>
      <c r="E911" s="79">
        <v>-92.36</v>
      </c>
      <c r="F911" s="79">
        <v>-27.36</v>
      </c>
    </row>
    <row r="912" spans="1:6">
      <c r="A912" s="57">
        <v>9</v>
      </c>
      <c r="B912" s="78">
        <v>2025</v>
      </c>
      <c r="C912" s="79" t="s">
        <v>45</v>
      </c>
      <c r="D912" s="79">
        <v>-93.84</v>
      </c>
      <c r="E912" s="79">
        <v>-27.36</v>
      </c>
      <c r="F912" s="79">
        <v>-56.2</v>
      </c>
    </row>
    <row r="913" spans="1:6">
      <c r="A913" s="57">
        <v>10</v>
      </c>
      <c r="B913" s="78">
        <v>2025</v>
      </c>
      <c r="C913" s="79" t="s">
        <v>45</v>
      </c>
      <c r="D913" s="79">
        <v>-27.11</v>
      </c>
      <c r="E913" s="79">
        <v>-56.2</v>
      </c>
      <c r="F913" s="79">
        <v>-18.310000000000002</v>
      </c>
    </row>
    <row r="914" spans="1:6">
      <c r="A914" s="57">
        <v>11</v>
      </c>
      <c r="B914" s="78">
        <v>2025</v>
      </c>
      <c r="C914" s="79" t="s">
        <v>45</v>
      </c>
      <c r="D914" s="79">
        <v>-77.760000000000005</v>
      </c>
      <c r="E914" s="79">
        <v>-18.309999999999999</v>
      </c>
      <c r="F914" s="79">
        <v>-31.070000000000007</v>
      </c>
    </row>
    <row r="915" spans="1:6">
      <c r="A915" s="57">
        <v>12</v>
      </c>
      <c r="B915" s="78">
        <v>2025</v>
      </c>
      <c r="C915" s="79" t="s">
        <v>45</v>
      </c>
      <c r="D915" s="79">
        <v>0</v>
      </c>
      <c r="E915" s="79">
        <v>-31.07</v>
      </c>
      <c r="F915" s="79">
        <v>33.93</v>
      </c>
    </row>
    <row r="916" spans="1:6">
      <c r="A916" s="57">
        <v>1</v>
      </c>
      <c r="B916" s="78">
        <v>2024</v>
      </c>
      <c r="C916" s="79" t="s">
        <v>34</v>
      </c>
      <c r="D916" s="79">
        <v>0</v>
      </c>
      <c r="E916" s="79">
        <v>184.49</v>
      </c>
      <c r="F916" s="79">
        <v>184.49</v>
      </c>
    </row>
    <row r="917" spans="1:6">
      <c r="A917" s="57">
        <v>2</v>
      </c>
      <c r="B917" s="78">
        <v>2024</v>
      </c>
      <c r="C917" s="79" t="s">
        <v>34</v>
      </c>
      <c r="D917" s="79">
        <v>0</v>
      </c>
      <c r="E917" s="79">
        <v>184.49</v>
      </c>
      <c r="F917" s="79">
        <v>184.5</v>
      </c>
    </row>
    <row r="918" spans="1:6">
      <c r="A918" s="57">
        <v>3</v>
      </c>
      <c r="B918" s="78">
        <v>2024</v>
      </c>
      <c r="C918" s="79" t="s">
        <v>34</v>
      </c>
      <c r="D918" s="79">
        <v>-136.17000000000002</v>
      </c>
      <c r="E918" s="79">
        <v>184.5</v>
      </c>
      <c r="F918" s="79">
        <v>188.33</v>
      </c>
    </row>
    <row r="919" spans="1:6">
      <c r="A919" s="57">
        <v>4</v>
      </c>
      <c r="B919" s="78">
        <v>2024</v>
      </c>
      <c r="C919" s="79" t="s">
        <v>34</v>
      </c>
      <c r="D919" s="79">
        <v>-546.34</v>
      </c>
      <c r="E919" s="79">
        <v>188.33</v>
      </c>
      <c r="F919" s="79">
        <v>-218.01</v>
      </c>
    </row>
    <row r="920" spans="1:6">
      <c r="A920" s="57">
        <v>5</v>
      </c>
      <c r="B920" s="78">
        <v>2024</v>
      </c>
      <c r="C920" s="79" t="s">
        <v>34</v>
      </c>
      <c r="D920" s="79">
        <v>0</v>
      </c>
      <c r="E920" s="79">
        <v>-218.01</v>
      </c>
      <c r="F920" s="79">
        <v>-78.009999999999991</v>
      </c>
    </row>
    <row r="921" spans="1:6">
      <c r="A921" s="57">
        <v>6</v>
      </c>
      <c r="B921" s="78">
        <v>2024</v>
      </c>
      <c r="C921" s="79" t="s">
        <v>34</v>
      </c>
      <c r="D921" s="79">
        <v>0</v>
      </c>
      <c r="E921" s="79">
        <v>-78.010000000000005</v>
      </c>
      <c r="F921" s="79">
        <v>61.989999999999995</v>
      </c>
    </row>
    <row r="922" spans="1:6">
      <c r="A922" s="57">
        <v>7</v>
      </c>
      <c r="B922" s="78">
        <v>2024</v>
      </c>
      <c r="C922" s="79" t="s">
        <v>34</v>
      </c>
      <c r="D922" s="79">
        <v>-201.99</v>
      </c>
      <c r="E922" s="79">
        <v>61.99</v>
      </c>
      <c r="F922" s="79">
        <v>0</v>
      </c>
    </row>
    <row r="923" spans="1:6">
      <c r="A923" s="57">
        <v>8</v>
      </c>
      <c r="B923" s="78">
        <v>2024</v>
      </c>
      <c r="C923" s="79" t="s">
        <v>34</v>
      </c>
      <c r="D923" s="79">
        <v>-81.23</v>
      </c>
      <c r="E923" s="79">
        <v>0</v>
      </c>
      <c r="F923" s="79">
        <v>58.77</v>
      </c>
    </row>
    <row r="924" spans="1:6">
      <c r="A924" s="57">
        <v>9</v>
      </c>
      <c r="B924" s="78">
        <v>2024</v>
      </c>
      <c r="C924" s="79" t="s">
        <v>34</v>
      </c>
      <c r="D924" s="79">
        <v>-239.57</v>
      </c>
      <c r="E924" s="79">
        <v>58.77</v>
      </c>
      <c r="F924" s="79">
        <v>-40.800000000000011</v>
      </c>
    </row>
    <row r="925" spans="1:6">
      <c r="A925" s="57">
        <v>10</v>
      </c>
      <c r="B925" s="78">
        <v>2024</v>
      </c>
      <c r="C925" s="79" t="s">
        <v>34</v>
      </c>
      <c r="D925" s="79">
        <v>-139.75</v>
      </c>
      <c r="E925" s="79">
        <v>-40.799999999999997</v>
      </c>
      <c r="F925" s="79">
        <v>-40.549999999999997</v>
      </c>
    </row>
    <row r="926" spans="1:6">
      <c r="A926" s="57">
        <v>11</v>
      </c>
      <c r="B926" s="78">
        <v>2024</v>
      </c>
      <c r="C926" s="79" t="s">
        <v>34</v>
      </c>
      <c r="D926" s="79">
        <v>0</v>
      </c>
      <c r="E926" s="79">
        <v>-40.549999999999997</v>
      </c>
      <c r="F926" s="79">
        <v>99.45</v>
      </c>
    </row>
    <row r="927" spans="1:6">
      <c r="A927" s="57">
        <v>12</v>
      </c>
      <c r="B927" s="78">
        <v>2024</v>
      </c>
      <c r="C927" s="79" t="s">
        <v>34</v>
      </c>
      <c r="D927" s="79">
        <v>0</v>
      </c>
      <c r="E927" s="79">
        <v>99.45</v>
      </c>
      <c r="F927" s="79">
        <v>239.45</v>
      </c>
    </row>
    <row r="928" spans="1:6">
      <c r="A928" s="57">
        <v>1</v>
      </c>
      <c r="B928" s="78">
        <v>2025</v>
      </c>
      <c r="C928" s="79" t="s">
        <v>34</v>
      </c>
      <c r="D928" s="79">
        <v>-407.36</v>
      </c>
      <c r="E928" s="79">
        <v>239.45</v>
      </c>
      <c r="F928" s="79">
        <v>-27.909999999999968</v>
      </c>
    </row>
    <row r="929" spans="1:6">
      <c r="A929" s="57">
        <v>2</v>
      </c>
      <c r="B929" s="78">
        <v>2025</v>
      </c>
      <c r="C929" s="79" t="s">
        <v>34</v>
      </c>
      <c r="D929" s="79">
        <v>-71.150000000000006</v>
      </c>
      <c r="E929" s="79">
        <v>-27.91</v>
      </c>
      <c r="F929" s="79">
        <v>40.94</v>
      </c>
    </row>
    <row r="930" spans="1:6">
      <c r="A930" s="57">
        <v>3</v>
      </c>
      <c r="B930" s="78">
        <v>2025</v>
      </c>
      <c r="C930" s="79" t="s">
        <v>34</v>
      </c>
      <c r="D930" s="79">
        <v>0</v>
      </c>
      <c r="E930" s="79">
        <v>40.94</v>
      </c>
      <c r="F930" s="79">
        <v>180.94</v>
      </c>
    </row>
    <row r="931" spans="1:6">
      <c r="A931" s="57">
        <v>4</v>
      </c>
      <c r="B931" s="78">
        <v>2025</v>
      </c>
      <c r="C931" s="79" t="s">
        <v>34</v>
      </c>
      <c r="D931" s="79">
        <v>-471.81000000000006</v>
      </c>
      <c r="E931" s="79">
        <v>180.94</v>
      </c>
      <c r="F931" s="79">
        <v>-150.87000000000006</v>
      </c>
    </row>
    <row r="932" spans="1:6">
      <c r="A932" s="57">
        <v>5</v>
      </c>
      <c r="B932" s="78">
        <v>2025</v>
      </c>
      <c r="C932" s="79" t="s">
        <v>34</v>
      </c>
      <c r="D932" s="79">
        <v>10.869999999999948</v>
      </c>
      <c r="E932" s="79">
        <v>-150.87</v>
      </c>
      <c r="F932" s="79">
        <v>-5.6843418860808027E-14</v>
      </c>
    </row>
    <row r="933" spans="1:6">
      <c r="A933" s="57">
        <v>6</v>
      </c>
      <c r="B933" s="78">
        <v>2025</v>
      </c>
      <c r="C933" s="79" t="s">
        <v>34</v>
      </c>
      <c r="D933" s="79">
        <v>-166.42999999999998</v>
      </c>
      <c r="E933" s="79">
        <v>-5.6843418860808002E-14</v>
      </c>
      <c r="F933" s="79">
        <v>-26.430000000000035</v>
      </c>
    </row>
    <row r="934" spans="1:6">
      <c r="A934" s="57">
        <v>7</v>
      </c>
      <c r="B934" s="78">
        <v>2025</v>
      </c>
      <c r="C934" s="79" t="s">
        <v>34</v>
      </c>
      <c r="D934" s="79">
        <v>-109.71</v>
      </c>
      <c r="E934" s="79">
        <v>-26.43</v>
      </c>
      <c r="F934" s="79">
        <v>3.8599999999999852</v>
      </c>
    </row>
    <row r="935" spans="1:6">
      <c r="A935" s="57">
        <v>8</v>
      </c>
      <c r="B935" s="78">
        <v>2025</v>
      </c>
      <c r="C935" s="79" t="s">
        <v>34</v>
      </c>
      <c r="D935" s="79">
        <v>0</v>
      </c>
      <c r="E935" s="79">
        <v>3.8599999999999901</v>
      </c>
      <c r="F935" s="79">
        <v>143.86000000000001</v>
      </c>
    </row>
    <row r="936" spans="1:6">
      <c r="A936" s="57">
        <v>9</v>
      </c>
      <c r="B936" s="78">
        <v>2025</v>
      </c>
      <c r="C936" s="79" t="s">
        <v>34</v>
      </c>
      <c r="D936" s="79">
        <v>0</v>
      </c>
      <c r="E936" s="79">
        <v>143.86000000000001</v>
      </c>
      <c r="F936" s="79">
        <v>283.86</v>
      </c>
    </row>
    <row r="937" spans="1:6">
      <c r="A937" s="57">
        <v>10</v>
      </c>
      <c r="B937" s="78">
        <v>2025</v>
      </c>
      <c r="C937" s="79" t="s">
        <v>34</v>
      </c>
      <c r="D937" s="79">
        <v>0</v>
      </c>
      <c r="E937" s="79">
        <v>283.86</v>
      </c>
      <c r="F937" s="79">
        <v>423.86</v>
      </c>
    </row>
    <row r="938" spans="1:6">
      <c r="A938" s="57">
        <v>11</v>
      </c>
      <c r="B938" s="78">
        <v>2025</v>
      </c>
      <c r="C938" s="79" t="s">
        <v>34</v>
      </c>
      <c r="D938" s="79">
        <v>-739.69</v>
      </c>
      <c r="E938" s="79">
        <v>423.86</v>
      </c>
      <c r="F938" s="79">
        <v>-175.83000000000004</v>
      </c>
    </row>
    <row r="939" spans="1:6">
      <c r="A939" s="57">
        <v>12</v>
      </c>
      <c r="B939" s="78">
        <v>2025</v>
      </c>
      <c r="C939" s="79" t="s">
        <v>34</v>
      </c>
      <c r="D939" s="79">
        <v>0</v>
      </c>
      <c r="E939" s="79">
        <v>-175.83</v>
      </c>
      <c r="F939" s="79">
        <v>-35.830000000000013</v>
      </c>
    </row>
    <row r="940" spans="1:6">
      <c r="A940" s="57"/>
      <c r="B940" s="78"/>
      <c r="C940" s="79"/>
      <c r="D940" s="79"/>
      <c r="E940" s="79"/>
      <c r="F940" s="79"/>
    </row>
    <row r="941" spans="1:6">
      <c r="A941" s="57"/>
      <c r="B941" s="78"/>
      <c r="C941" s="79"/>
      <c r="D941" s="79"/>
      <c r="E941" s="79"/>
      <c r="F941" s="79"/>
    </row>
    <row r="942" spans="1:6">
      <c r="A942" s="57"/>
      <c r="B942" s="78"/>
      <c r="C942" s="79"/>
      <c r="D942" s="79"/>
      <c r="E942" s="79"/>
      <c r="F942" s="79"/>
    </row>
    <row r="943" spans="1:6">
      <c r="A943" s="57"/>
      <c r="B943" s="78"/>
      <c r="C943" s="79"/>
      <c r="D943" s="79"/>
      <c r="E943" s="79"/>
      <c r="F943" s="79"/>
    </row>
    <row r="944" spans="1:6">
      <c r="A944" s="57"/>
      <c r="B944" s="78"/>
      <c r="C944" s="79"/>
      <c r="D944" s="79"/>
      <c r="E944" s="79"/>
      <c r="F944" s="79"/>
    </row>
    <row r="945" spans="1:6">
      <c r="A945" s="57"/>
      <c r="B945" s="78"/>
      <c r="C945" s="79"/>
      <c r="D945" s="79"/>
      <c r="E945" s="79"/>
      <c r="F945" s="79"/>
    </row>
    <row r="946" spans="1:6">
      <c r="A946" s="57"/>
      <c r="B946" s="78"/>
      <c r="C946" s="79"/>
      <c r="D946" s="79"/>
      <c r="E946" s="79"/>
      <c r="F946" s="79"/>
    </row>
    <row r="947" spans="1:6">
      <c r="A947" s="57"/>
      <c r="B947" s="78"/>
      <c r="C947" s="79"/>
      <c r="D947" s="79"/>
      <c r="E947" s="79"/>
      <c r="F947" s="79"/>
    </row>
    <row r="948" spans="1:6">
      <c r="A948" s="57"/>
      <c r="B948" s="78"/>
      <c r="C948" s="79"/>
      <c r="D948" s="79"/>
      <c r="E948" s="79"/>
      <c r="F948" s="79"/>
    </row>
    <row r="949" spans="1:6">
      <c r="A949" s="57"/>
      <c r="B949" s="78"/>
      <c r="C949" s="79"/>
      <c r="D949" s="79"/>
      <c r="E949" s="79"/>
      <c r="F949" s="79"/>
    </row>
    <row r="950" spans="1:6">
      <c r="A950" s="57"/>
      <c r="B950" s="78"/>
      <c r="C950" s="79"/>
      <c r="D950" s="79"/>
      <c r="E950" s="79"/>
      <c r="F950" s="79"/>
    </row>
    <row r="951" spans="1:6">
      <c r="A951" s="57"/>
      <c r="B951" s="78"/>
      <c r="C951" s="79"/>
      <c r="D951" s="79"/>
      <c r="E951" s="79"/>
      <c r="F951" s="79"/>
    </row>
    <row r="952" spans="1:6">
      <c r="A952" s="57"/>
      <c r="B952" s="78"/>
      <c r="C952" s="79"/>
      <c r="D952" s="79"/>
      <c r="E952" s="79"/>
      <c r="F952" s="79"/>
    </row>
    <row r="953" spans="1:6">
      <c r="A953" s="57"/>
      <c r="B953" s="78"/>
      <c r="C953" s="79"/>
      <c r="D953" s="79"/>
      <c r="E953" s="79"/>
      <c r="F953" s="79"/>
    </row>
    <row r="954" spans="1:6">
      <c r="A954" s="57"/>
      <c r="B954" s="78"/>
      <c r="C954" s="79"/>
      <c r="D954" s="79"/>
      <c r="E954" s="79"/>
      <c r="F954" s="79"/>
    </row>
    <row r="955" spans="1:6">
      <c r="A955" s="57"/>
      <c r="B955" s="78"/>
      <c r="C955" s="79"/>
      <c r="D955" s="79"/>
      <c r="E955" s="79"/>
      <c r="F955" s="79"/>
    </row>
    <row r="956" spans="1:6">
      <c r="A956" s="57"/>
      <c r="B956" s="78"/>
      <c r="C956" s="79"/>
      <c r="D956" s="79"/>
      <c r="E956" s="79"/>
      <c r="F956" s="79"/>
    </row>
    <row r="957" spans="1:6">
      <c r="A957" s="57"/>
      <c r="B957" s="78"/>
      <c r="C957" s="79"/>
      <c r="D957" s="79"/>
      <c r="E957" s="79"/>
      <c r="F957" s="79"/>
    </row>
    <row r="958" spans="1:6">
      <c r="A958" s="57"/>
      <c r="B958" s="78"/>
      <c r="C958" s="79"/>
      <c r="D958" s="79"/>
      <c r="E958" s="79"/>
      <c r="F958" s="79"/>
    </row>
    <row r="959" spans="1:6">
      <c r="A959" s="57"/>
      <c r="B959" s="78"/>
      <c r="C959" s="79"/>
      <c r="D959" s="79"/>
      <c r="E959" s="79"/>
      <c r="F959" s="79"/>
    </row>
    <row r="960" spans="1:6">
      <c r="A960" s="57"/>
      <c r="B960" s="78"/>
      <c r="C960" s="79"/>
      <c r="D960" s="79"/>
      <c r="E960" s="79"/>
      <c r="F960" s="79"/>
    </row>
    <row r="961" spans="1:6">
      <c r="A961" s="57"/>
      <c r="B961" s="78"/>
      <c r="C961" s="79"/>
      <c r="D961" s="79"/>
      <c r="E961" s="79"/>
      <c r="F961" s="79"/>
    </row>
    <row r="962" spans="1:6">
      <c r="A962" s="57"/>
      <c r="B962" s="78"/>
      <c r="C962" s="79"/>
      <c r="D962" s="79"/>
      <c r="E962" s="79"/>
      <c r="F962" s="79"/>
    </row>
    <row r="963" spans="1:6">
      <c r="A963" s="57"/>
      <c r="B963" s="78"/>
      <c r="C963" s="79"/>
      <c r="D963" s="79"/>
      <c r="E963" s="79"/>
      <c r="F963" s="79"/>
    </row>
    <row r="964" spans="1:6">
      <c r="A964" s="57"/>
      <c r="B964" s="78"/>
      <c r="C964" s="79"/>
      <c r="D964" s="79"/>
      <c r="E964" s="79"/>
      <c r="F964" s="79"/>
    </row>
    <row r="965" spans="1:6">
      <c r="A965" s="57"/>
      <c r="B965" s="78"/>
      <c r="C965" s="79"/>
      <c r="D965" s="79"/>
      <c r="E965" s="79"/>
      <c r="F965" s="79"/>
    </row>
    <row r="966" spans="1:6">
      <c r="A966" s="57"/>
      <c r="B966" s="78"/>
      <c r="C966" s="79"/>
      <c r="D966" s="79"/>
      <c r="E966" s="79"/>
      <c r="F966" s="79"/>
    </row>
    <row r="967" spans="1:6">
      <c r="A967" s="57"/>
      <c r="B967" s="78"/>
      <c r="C967" s="79"/>
      <c r="D967" s="79"/>
      <c r="E967" s="79"/>
      <c r="F967" s="79"/>
    </row>
    <row r="968" spans="1:6">
      <c r="A968" s="57"/>
      <c r="B968" s="78"/>
      <c r="C968" s="79"/>
      <c r="D968" s="79"/>
      <c r="E968" s="79"/>
      <c r="F968" s="79"/>
    </row>
    <row r="969" spans="1:6">
      <c r="A969" s="57"/>
      <c r="B969" s="78"/>
      <c r="C969" s="79"/>
      <c r="D969" s="79"/>
      <c r="E969" s="79"/>
      <c r="F969" s="79"/>
    </row>
    <row r="970" spans="1:6">
      <c r="A970" s="57"/>
      <c r="B970" s="78"/>
      <c r="C970" s="79"/>
      <c r="D970" s="79"/>
      <c r="E970" s="79"/>
      <c r="F970" s="79"/>
    </row>
    <row r="971" spans="1:6">
      <c r="A971" s="57"/>
      <c r="B971" s="78"/>
      <c r="C971" s="79"/>
      <c r="D971" s="79"/>
      <c r="E971" s="79"/>
      <c r="F971" s="79"/>
    </row>
    <row r="972" spans="1:6">
      <c r="A972" s="57"/>
      <c r="B972" s="78"/>
      <c r="C972" s="79"/>
      <c r="D972" s="79"/>
      <c r="E972" s="79"/>
      <c r="F972" s="79"/>
    </row>
    <row r="973" spans="1:6">
      <c r="A973" s="57"/>
      <c r="B973" s="78"/>
      <c r="C973" s="79"/>
      <c r="D973" s="79"/>
      <c r="E973" s="79"/>
      <c r="F973" s="79"/>
    </row>
    <row r="974" spans="1:6">
      <c r="A974" s="57"/>
      <c r="B974" s="78"/>
      <c r="C974" s="79"/>
      <c r="D974" s="79"/>
      <c r="E974" s="79"/>
      <c r="F974" s="79"/>
    </row>
    <row r="975" spans="1:6">
      <c r="A975" s="57"/>
      <c r="B975" s="78"/>
      <c r="C975" s="79"/>
      <c r="D975" s="79"/>
      <c r="E975" s="79"/>
      <c r="F975" s="79"/>
    </row>
    <row r="976" spans="1:6">
      <c r="A976" s="57"/>
      <c r="B976" s="78"/>
      <c r="C976" s="79"/>
      <c r="D976" s="79"/>
      <c r="E976" s="79"/>
      <c r="F976" s="79"/>
    </row>
    <row r="977" spans="1:6">
      <c r="A977" s="57"/>
      <c r="B977" s="78"/>
      <c r="C977" s="79"/>
      <c r="D977" s="79"/>
      <c r="E977" s="79"/>
      <c r="F977" s="79"/>
    </row>
    <row r="978" spans="1:6">
      <c r="A978" s="57"/>
      <c r="B978" s="78"/>
      <c r="C978" s="79"/>
      <c r="D978" s="79"/>
      <c r="E978" s="79"/>
      <c r="F978" s="79"/>
    </row>
    <row r="979" spans="1:6">
      <c r="A979" s="57"/>
      <c r="B979" s="78"/>
      <c r="C979" s="79"/>
      <c r="D979" s="79"/>
      <c r="E979" s="79"/>
      <c r="F979" s="79"/>
    </row>
    <row r="980" spans="1:6">
      <c r="A980" s="57"/>
      <c r="B980" s="78"/>
      <c r="C980" s="79"/>
      <c r="D980" s="79"/>
      <c r="E980" s="79"/>
      <c r="F980" s="79"/>
    </row>
    <row r="981" spans="1:6">
      <c r="A981" s="57"/>
      <c r="B981" s="78"/>
      <c r="C981" s="79"/>
      <c r="D981" s="79"/>
      <c r="E981" s="79"/>
      <c r="F981" s="79"/>
    </row>
    <row r="982" spans="1:6">
      <c r="A982" s="57"/>
      <c r="B982" s="78"/>
      <c r="C982" s="79"/>
      <c r="D982" s="79"/>
      <c r="E982" s="79"/>
      <c r="F982" s="79"/>
    </row>
    <row r="983" spans="1:6">
      <c r="A983" s="57"/>
      <c r="B983" s="78"/>
      <c r="C983" s="79"/>
      <c r="D983" s="79"/>
      <c r="E983" s="79"/>
      <c r="F983" s="79"/>
    </row>
    <row r="984" spans="1:6">
      <c r="A984" s="57"/>
      <c r="B984" s="78"/>
      <c r="C984" s="79"/>
      <c r="D984" s="79"/>
      <c r="E984" s="79"/>
      <c r="F984" s="79"/>
    </row>
    <row r="985" spans="1:6">
      <c r="A985" s="57"/>
      <c r="B985" s="78"/>
      <c r="C985" s="79"/>
      <c r="D985" s="79"/>
      <c r="E985" s="79"/>
      <c r="F985" s="79"/>
    </row>
  </sheetData>
  <phoneticPr fontId="6" type="noConversion"/>
  <dataValidations count="3">
    <dataValidation type="list" allowBlank="1" showInputMessage="1" showErrorMessage="1" sqref="C2:C985" xr:uid="{12D1C87E-D1F0-403C-BCE9-842974430556}">
      <formula1>Expenses</formula1>
    </dataValidation>
    <dataValidation type="decimal" allowBlank="1" showInputMessage="1" showErrorMessage="1" sqref="D2:D985" xr:uid="{16540C63-EC00-4001-969F-927C738316B2}">
      <formula1>-99999999</formula1>
      <formula2>9999999</formula2>
    </dataValidation>
    <dataValidation type="decimal" allowBlank="1" showInputMessage="1" showErrorMessage="1" sqref="E2:E985" xr:uid="{1BBFE31E-5B05-417F-918D-02C596E5A963}">
      <formula1>-9999999</formula1>
      <formula2>9999999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4421-E8A4-4DF9-9A61-40505B858ACF}">
  <dimension ref="A1:K165"/>
  <sheetViews>
    <sheetView topLeftCell="A23" workbookViewId="0">
      <selection activeCell="H38" sqref="H38"/>
    </sheetView>
  </sheetViews>
  <sheetFormatPr defaultColWidth="9.140625" defaultRowHeight="26.25" customHeight="1"/>
  <cols>
    <col min="1" max="1" width="17.5703125" style="43" customWidth="1"/>
    <col min="2" max="2" width="21.42578125" style="102" customWidth="1"/>
    <col min="3" max="4" width="21.42578125" style="43" customWidth="1"/>
    <col min="5" max="5" width="21.42578125" style="102" customWidth="1"/>
    <col min="6" max="6" width="21.42578125" style="43" customWidth="1"/>
    <col min="7" max="7" width="21.42578125" style="115" customWidth="1"/>
    <col min="8" max="8" width="21.42578125" style="43" customWidth="1"/>
    <col min="9" max="16384" width="9.140625" style="43"/>
  </cols>
  <sheetData>
    <row r="1" spans="1:8" ht="26.25" customHeight="1">
      <c r="A1" s="55" t="s">
        <v>3360</v>
      </c>
      <c r="B1" s="100" t="s">
        <v>3365</v>
      </c>
      <c r="C1" s="55" t="s">
        <v>3366</v>
      </c>
      <c r="D1" s="55" t="s">
        <v>3367</v>
      </c>
      <c r="E1" s="100" t="s">
        <v>3368</v>
      </c>
      <c r="F1" s="55" t="s">
        <v>3369</v>
      </c>
      <c r="G1" s="55" t="s">
        <v>3370</v>
      </c>
      <c r="H1" s="55" t="s">
        <v>122</v>
      </c>
    </row>
    <row r="2" spans="1:8" ht="26.25" customHeight="1">
      <c r="A2" s="57" t="s">
        <v>50</v>
      </c>
      <c r="B2" s="101">
        <v>2</v>
      </c>
      <c r="C2" s="60">
        <v>2024</v>
      </c>
      <c r="D2" s="115">
        <f>DATE(BudgetHistory[[#This Row],[Year Start]],BudgetHistory[[#This Row],[Month Start]],1)</f>
        <v>45323</v>
      </c>
      <c r="E2" s="101">
        <v>2</v>
      </c>
      <c r="F2" s="60">
        <v>2024</v>
      </c>
      <c r="G2" s="115">
        <f>EOMONTH(DATE(BudgetHistory[[#This Row],[Year End]],BudgetHistory[[#This Row],[Month End]],1),0)</f>
        <v>45351</v>
      </c>
      <c r="H2" s="59">
        <v>0.01</v>
      </c>
    </row>
    <row r="3" spans="1:8" ht="26.25" customHeight="1">
      <c r="A3" s="57" t="s">
        <v>29</v>
      </c>
      <c r="B3" s="101">
        <v>3</v>
      </c>
      <c r="C3" s="60">
        <v>2024</v>
      </c>
      <c r="D3" s="115">
        <f>DATE(BudgetHistory[[#This Row],[Year Start]],BudgetHistory[[#This Row],[Month Start]],1)</f>
        <v>45352</v>
      </c>
      <c r="E3" s="101">
        <v>3</v>
      </c>
      <c r="F3" s="60">
        <v>2025</v>
      </c>
      <c r="G3" s="115">
        <f>EOMONTH(DATE(BudgetHistory[[#This Row],[Year End]],BudgetHistory[[#This Row],[Month End]],1),0)</f>
        <v>45747</v>
      </c>
      <c r="H3" s="59">
        <v>226</v>
      </c>
    </row>
    <row r="4" spans="1:8" ht="26.25" customHeight="1">
      <c r="A4" s="57" t="s">
        <v>29</v>
      </c>
      <c r="B4" s="101">
        <v>2</v>
      </c>
      <c r="C4" s="60">
        <v>2024</v>
      </c>
      <c r="D4" s="115">
        <f>DATE(BudgetHistory[[#This Row],[Year Start]],BudgetHistory[[#This Row],[Month Start]],1)</f>
        <v>45323</v>
      </c>
      <c r="E4" s="101">
        <v>2</v>
      </c>
      <c r="F4" s="60">
        <v>2024</v>
      </c>
      <c r="G4" s="115">
        <f>EOMONTH(DATE(BudgetHistory[[#This Row],[Year End]],BudgetHistory[[#This Row],[Month End]],1),0)</f>
        <v>45351</v>
      </c>
      <c r="H4" s="59">
        <v>204</v>
      </c>
    </row>
    <row r="5" spans="1:8" ht="26.25" customHeight="1">
      <c r="A5" s="57" t="s">
        <v>62</v>
      </c>
      <c r="B5" s="101">
        <v>2</v>
      </c>
      <c r="C5" s="60">
        <v>2024</v>
      </c>
      <c r="D5" s="115">
        <f>DATE(BudgetHistory[[#This Row],[Year Start]],BudgetHistory[[#This Row],[Month Start]],1)</f>
        <v>45323</v>
      </c>
      <c r="E5" s="101">
        <v>2</v>
      </c>
      <c r="F5" s="60">
        <v>2024</v>
      </c>
      <c r="G5" s="115">
        <f>EOMONTH(DATE(BudgetHistory[[#This Row],[Year End]],BudgetHistory[[#This Row],[Month End]],1),0)</f>
        <v>45351</v>
      </c>
      <c r="H5" s="59">
        <v>0.01</v>
      </c>
    </row>
    <row r="6" spans="1:8" ht="26.25" customHeight="1">
      <c r="A6" s="57" t="s">
        <v>61</v>
      </c>
      <c r="B6" s="101">
        <v>11</v>
      </c>
      <c r="C6" s="60">
        <v>2024</v>
      </c>
      <c r="D6" s="115">
        <f>DATE(BudgetHistory[[#This Row],[Year Start]],BudgetHistory[[#This Row],[Month Start]],1)</f>
        <v>45597</v>
      </c>
      <c r="E6" s="101">
        <v>11</v>
      </c>
      <c r="F6" s="60">
        <v>2024</v>
      </c>
      <c r="G6" s="115">
        <f>EOMONTH(DATE(BudgetHistory[[#This Row],[Year End]],BudgetHistory[[#This Row],[Month End]],1),0)</f>
        <v>45626</v>
      </c>
      <c r="H6" s="59">
        <v>1E-3</v>
      </c>
    </row>
    <row r="7" spans="1:8" ht="26.25" customHeight="1">
      <c r="A7" s="57" t="s">
        <v>56</v>
      </c>
      <c r="B7" s="101">
        <v>3</v>
      </c>
      <c r="C7" s="60">
        <v>2024</v>
      </c>
      <c r="D7" s="115">
        <f>DATE(BudgetHistory[[#This Row],[Year Start]],BudgetHistory[[#This Row],[Month Start]],1)</f>
        <v>45352</v>
      </c>
      <c r="E7" s="101">
        <v>6</v>
      </c>
      <c r="F7" s="60">
        <v>2025</v>
      </c>
      <c r="G7" s="115">
        <f>EOMONTH(DATE(BudgetHistory[[#This Row],[Year End]],BudgetHistory[[#This Row],[Month End]],1),0)</f>
        <v>45838</v>
      </c>
      <c r="H7" s="59">
        <v>100</v>
      </c>
    </row>
    <row r="8" spans="1:8" ht="26.25" customHeight="1" thickBot="1">
      <c r="A8" s="57" t="s">
        <v>56</v>
      </c>
      <c r="B8" s="101">
        <v>2</v>
      </c>
      <c r="C8" s="60">
        <v>2024</v>
      </c>
      <c r="D8" s="115">
        <f>DATE(BudgetHistory[[#This Row],[Year Start]],BudgetHistory[[#This Row],[Month Start]],1)</f>
        <v>45323</v>
      </c>
      <c r="E8" s="101">
        <v>2</v>
      </c>
      <c r="F8" s="60">
        <v>2024</v>
      </c>
      <c r="G8" s="115">
        <f>EOMONTH(DATE(BudgetHistory[[#This Row],[Year End]],BudgetHistory[[#This Row],[Month End]],1),0)</f>
        <v>45351</v>
      </c>
      <c r="H8" s="59">
        <v>0.01</v>
      </c>
    </row>
    <row r="9" spans="1:8" ht="26.25" customHeight="1" thickBot="1">
      <c r="A9" s="57" t="s">
        <v>55</v>
      </c>
      <c r="B9" s="101">
        <v>2</v>
      </c>
      <c r="C9" s="60">
        <v>2024</v>
      </c>
      <c r="D9" s="115">
        <f>DATE(BudgetHistory[[#This Row],[Year Start]],BudgetHistory[[#This Row],[Month Start]],1)</f>
        <v>45323</v>
      </c>
      <c r="E9" s="101">
        <v>4</v>
      </c>
      <c r="F9" s="60">
        <v>2024</v>
      </c>
      <c r="G9" s="115">
        <f>EOMONTH(DATE(BudgetHistory[[#This Row],[Year End]],BudgetHistory[[#This Row],[Month End]],1),0)</f>
        <v>45412</v>
      </c>
      <c r="H9" s="109">
        <v>100</v>
      </c>
    </row>
    <row r="10" spans="1:8" ht="26.25" customHeight="1">
      <c r="A10" s="57" t="s">
        <v>44</v>
      </c>
      <c r="B10" s="101">
        <v>2</v>
      </c>
      <c r="C10" s="60">
        <v>2024</v>
      </c>
      <c r="D10" s="115">
        <f>DATE(BudgetHistory[[#This Row],[Year Start]],BudgetHistory[[#This Row],[Month Start]],1)</f>
        <v>45323</v>
      </c>
      <c r="E10" s="101">
        <v>2</v>
      </c>
      <c r="F10" s="60">
        <v>2024</v>
      </c>
      <c r="G10" s="115">
        <f>EOMONTH(DATE(BudgetHistory[[#This Row],[Year End]],BudgetHistory[[#This Row],[Month End]],1),0)</f>
        <v>45351</v>
      </c>
      <c r="H10" s="59">
        <v>0.01</v>
      </c>
    </row>
    <row r="11" spans="1:8" ht="26.25" customHeight="1">
      <c r="A11" s="57" t="s">
        <v>187</v>
      </c>
      <c r="B11" s="101">
        <v>8</v>
      </c>
      <c r="C11" s="60">
        <v>2024</v>
      </c>
      <c r="D11" s="115">
        <f>DATE(BudgetHistory[[#This Row],[Year Start]],BudgetHistory[[#This Row],[Month Start]],1)</f>
        <v>45505</v>
      </c>
      <c r="E11" s="101">
        <v>9</v>
      </c>
      <c r="F11" s="60">
        <v>2024</v>
      </c>
      <c r="G11" s="115">
        <f>EOMONTH(DATE(BudgetHistory[[#This Row],[Year End]],BudgetHistory[[#This Row],[Month End]],1),0)</f>
        <v>45565</v>
      </c>
      <c r="H11" s="59">
        <v>150</v>
      </c>
    </row>
    <row r="12" spans="1:8" ht="26.25" customHeight="1">
      <c r="A12" s="57" t="s">
        <v>66</v>
      </c>
      <c r="B12" s="101">
        <v>2</v>
      </c>
      <c r="C12" s="60">
        <v>2024</v>
      </c>
      <c r="D12" s="115">
        <f>DATE(BudgetHistory[[#This Row],[Year Start]],BudgetHistory[[#This Row],[Month Start]],1)</f>
        <v>45323</v>
      </c>
      <c r="E12" s="101">
        <v>5</v>
      </c>
      <c r="F12" s="60">
        <v>2025</v>
      </c>
      <c r="G12" s="115">
        <f>EOMONTH(DATE(BudgetHistory[[#This Row],[Year End]],BudgetHistory[[#This Row],[Month End]],1),0)</f>
        <v>45808</v>
      </c>
      <c r="H12" s="59">
        <v>150</v>
      </c>
    </row>
    <row r="13" spans="1:8" ht="26.25" customHeight="1">
      <c r="A13" s="57" t="s">
        <v>187</v>
      </c>
      <c r="B13" s="60">
        <v>2</v>
      </c>
      <c r="C13" s="60">
        <v>2024</v>
      </c>
      <c r="D13" s="115">
        <f>DATE(BudgetHistory[[#This Row],[Year Start]],BudgetHistory[[#This Row],[Month Start]],1)</f>
        <v>45323</v>
      </c>
      <c r="E13" s="101">
        <v>7</v>
      </c>
      <c r="F13" s="60">
        <v>2024</v>
      </c>
      <c r="G13" s="115">
        <f>EOMONTH(DATE(BudgetHistory[[#This Row],[Year End]],BudgetHistory[[#This Row],[Month End]],1),0)</f>
        <v>45504</v>
      </c>
      <c r="H13" s="59">
        <v>500</v>
      </c>
    </row>
    <row r="14" spans="1:8" ht="26.25" customHeight="1">
      <c r="A14" s="57" t="s">
        <v>41</v>
      </c>
      <c r="B14" s="101">
        <v>2</v>
      </c>
      <c r="C14" s="60">
        <v>2024</v>
      </c>
      <c r="D14" s="115">
        <f>DATE(BudgetHistory[[#This Row],[Year Start]],BudgetHistory[[#This Row],[Month Start]],1)</f>
        <v>45323</v>
      </c>
      <c r="E14" s="101">
        <v>2</v>
      </c>
      <c r="F14" s="60">
        <v>2024</v>
      </c>
      <c r="G14" s="115">
        <f>EOMONTH(DATE(BudgetHistory[[#This Row],[Year End]],BudgetHistory[[#This Row],[Month End]],1),0)</f>
        <v>45351</v>
      </c>
      <c r="H14" s="59">
        <v>0.01</v>
      </c>
    </row>
    <row r="15" spans="1:8" ht="26.25" customHeight="1">
      <c r="A15" s="57" t="s">
        <v>40</v>
      </c>
      <c r="B15" s="101">
        <v>2</v>
      </c>
      <c r="C15" s="60">
        <v>2024</v>
      </c>
      <c r="D15" s="115">
        <f>DATE(BudgetHistory[[#This Row],[Year Start]],BudgetHistory[[#This Row],[Month Start]],1)</f>
        <v>45323</v>
      </c>
      <c r="E15" s="101">
        <v>12</v>
      </c>
      <c r="F15" s="60">
        <v>2024</v>
      </c>
      <c r="G15" s="115">
        <f>EOMONTH(DATE(BudgetHistory[[#This Row],[Year End]],BudgetHistory[[#This Row],[Month End]],1),0)</f>
        <v>45657</v>
      </c>
      <c r="H15" s="59">
        <v>200</v>
      </c>
    </row>
    <row r="16" spans="1:8" ht="26.25" customHeight="1">
      <c r="A16" s="57" t="s">
        <v>59</v>
      </c>
      <c r="B16" s="101">
        <v>2</v>
      </c>
      <c r="C16" s="60">
        <v>2024</v>
      </c>
      <c r="D16" s="115">
        <f>DATE(BudgetHistory[[#This Row],[Year Start]],BudgetHistory[[#This Row],[Month Start]],1)</f>
        <v>45323</v>
      </c>
      <c r="E16" s="101">
        <v>2</v>
      </c>
      <c r="F16" s="60">
        <v>2024</v>
      </c>
      <c r="G16" s="115">
        <f>EOMONTH(DATE(BudgetHistory[[#This Row],[Year End]],BudgetHistory[[#This Row],[Month End]],1),0)</f>
        <v>45351</v>
      </c>
      <c r="H16" s="59">
        <v>0.01</v>
      </c>
    </row>
    <row r="17" spans="1:8" ht="26.25" customHeight="1">
      <c r="A17" s="57" t="s">
        <v>47</v>
      </c>
      <c r="B17" s="101">
        <v>2</v>
      </c>
      <c r="C17" s="60">
        <v>2024</v>
      </c>
      <c r="D17" s="115">
        <f>DATE(BudgetHistory[[#This Row],[Year Start]],BudgetHistory[[#This Row],[Month Start]],1)</f>
        <v>45323</v>
      </c>
      <c r="E17" s="101">
        <v>2</v>
      </c>
      <c r="F17" s="60">
        <v>2024</v>
      </c>
      <c r="G17" s="115">
        <f>EOMONTH(DATE(BudgetHistory[[#This Row],[Year End]],BudgetHistory[[#This Row],[Month End]],1),0)</f>
        <v>45351</v>
      </c>
      <c r="H17" s="59">
        <v>0.01</v>
      </c>
    </row>
    <row r="18" spans="1:8" ht="26.25" customHeight="1">
      <c r="A18" s="57" t="s">
        <v>57</v>
      </c>
      <c r="B18" s="101">
        <v>2</v>
      </c>
      <c r="C18" s="60">
        <v>2024</v>
      </c>
      <c r="D18" s="115">
        <f>DATE(BudgetHistory[[#This Row],[Year Start]],BudgetHistory[[#This Row],[Month Start]],1)</f>
        <v>45323</v>
      </c>
      <c r="E18" s="101">
        <v>4</v>
      </c>
      <c r="F18" s="60">
        <v>2024</v>
      </c>
      <c r="G18" s="115">
        <f>EOMONTH(DATE(BudgetHistory[[#This Row],[Year End]],BudgetHistory[[#This Row],[Month End]],1),0)</f>
        <v>45412</v>
      </c>
      <c r="H18" s="59">
        <v>500</v>
      </c>
    </row>
    <row r="19" spans="1:8" ht="26.25" customHeight="1">
      <c r="A19" s="57" t="s">
        <v>37</v>
      </c>
      <c r="B19" s="101">
        <v>11</v>
      </c>
      <c r="C19" s="60">
        <v>2024</v>
      </c>
      <c r="D19" s="115">
        <f>DATE(BudgetHistory[[#This Row],[Year Start]],BudgetHistory[[#This Row],[Month Start]],1)</f>
        <v>45597</v>
      </c>
      <c r="E19" s="101">
        <v>11</v>
      </c>
      <c r="F19" s="60">
        <v>2024</v>
      </c>
      <c r="G19" s="115">
        <f>EOMONTH(DATE(BudgetHistory[[#This Row],[Year End]],BudgetHistory[[#This Row],[Month End]],1),0)</f>
        <v>45626</v>
      </c>
      <c r="H19" s="59">
        <v>1E-3</v>
      </c>
    </row>
    <row r="20" spans="1:8" ht="26.25" customHeight="1">
      <c r="A20" s="57" t="s">
        <v>57</v>
      </c>
      <c r="B20" s="101">
        <v>5</v>
      </c>
      <c r="C20" s="60">
        <v>2024</v>
      </c>
      <c r="D20" s="115">
        <f>DATE(BudgetHistory[[#This Row],[Year Start]],BudgetHistory[[#This Row],[Month Start]],1)</f>
        <v>45413</v>
      </c>
      <c r="E20" s="101">
        <v>11</v>
      </c>
      <c r="F20" s="60">
        <v>2024</v>
      </c>
      <c r="G20" s="115">
        <f>EOMONTH(DATE(BudgetHistory[[#This Row],[Year End]],BudgetHistory[[#This Row],[Month End]],1),0)</f>
        <v>45626</v>
      </c>
      <c r="H20" s="59">
        <v>550</v>
      </c>
    </row>
    <row r="21" spans="1:8" ht="26.25" customHeight="1">
      <c r="A21" s="57" t="s">
        <v>30</v>
      </c>
      <c r="B21" s="101">
        <v>2</v>
      </c>
      <c r="C21" s="60">
        <v>2024</v>
      </c>
      <c r="D21" s="115">
        <f>DATE(BudgetHistory[[#This Row],[Year Start]],BudgetHistory[[#This Row],[Month Start]],1)</f>
        <v>45323</v>
      </c>
      <c r="E21" s="101">
        <v>2</v>
      </c>
      <c r="F21" s="60">
        <v>2024</v>
      </c>
      <c r="G21" s="115">
        <f>EOMONTH(DATE(BudgetHistory[[#This Row],[Year End]],BudgetHistory[[#This Row],[Month End]],1),0)</f>
        <v>45351</v>
      </c>
      <c r="H21" s="59">
        <v>195.65</v>
      </c>
    </row>
    <row r="22" spans="1:8" ht="26.25" customHeight="1">
      <c r="A22" s="57" t="s">
        <v>30</v>
      </c>
      <c r="B22" s="101">
        <v>3</v>
      </c>
      <c r="C22" s="60">
        <v>2024</v>
      </c>
      <c r="D22" s="115">
        <f>DATE(BudgetHistory[[#This Row],[Year Start]],BudgetHistory[[#This Row],[Month Start]],1)</f>
        <v>45352</v>
      </c>
      <c r="E22" s="101">
        <v>3</v>
      </c>
      <c r="F22" s="60">
        <v>2024</v>
      </c>
      <c r="G22" s="115">
        <f>EOMONTH(DATE(BudgetHistory[[#This Row],[Year End]],BudgetHistory[[#This Row],[Month End]],1),0)</f>
        <v>45382</v>
      </c>
      <c r="H22" s="59">
        <v>214.91</v>
      </c>
    </row>
    <row r="23" spans="1:8" ht="26.25" customHeight="1">
      <c r="A23" s="57" t="s">
        <v>35</v>
      </c>
      <c r="B23" s="101">
        <v>10</v>
      </c>
      <c r="C23" s="60">
        <v>2024</v>
      </c>
      <c r="D23" s="115">
        <f>DATE(BudgetHistory[[#This Row],[Year Start]],BudgetHistory[[#This Row],[Month Start]],1)</f>
        <v>45566</v>
      </c>
      <c r="E23" s="101">
        <v>7</v>
      </c>
      <c r="F23" s="60">
        <v>2025</v>
      </c>
      <c r="G23" s="115">
        <f>EOMONTH(DATE(BudgetHistory[[#This Row],[Year End]],BudgetHistory[[#This Row],[Month End]],1),0)</f>
        <v>45869</v>
      </c>
      <c r="H23" s="59">
        <v>88.14</v>
      </c>
    </row>
    <row r="24" spans="1:8" ht="26.25" customHeight="1">
      <c r="A24" s="57" t="s">
        <v>35</v>
      </c>
      <c r="B24" s="101">
        <v>2</v>
      </c>
      <c r="C24" s="60">
        <v>2024</v>
      </c>
      <c r="D24" s="115">
        <f>DATE(BudgetHistory[[#This Row],[Year Start]],BudgetHistory[[#This Row],[Month Start]],1)</f>
        <v>45323</v>
      </c>
      <c r="E24" s="101">
        <v>9</v>
      </c>
      <c r="F24" s="60">
        <v>2024</v>
      </c>
      <c r="G24" s="115">
        <f>EOMONTH(DATE(BudgetHistory[[#This Row],[Year End]],BudgetHistory[[#This Row],[Month End]],1),0)</f>
        <v>45565</v>
      </c>
      <c r="H24" s="59">
        <v>84.75</v>
      </c>
    </row>
    <row r="25" spans="1:8" ht="26.25" customHeight="1">
      <c r="A25" s="57" t="s">
        <v>64</v>
      </c>
      <c r="B25" s="101">
        <v>10</v>
      </c>
      <c r="C25" s="60">
        <v>2024</v>
      </c>
      <c r="D25" s="115">
        <f>DATE(BudgetHistory[[#This Row],[Year Start]],BudgetHistory[[#This Row],[Month Start]],1)</f>
        <v>45566</v>
      </c>
      <c r="E25" s="101">
        <v>7</v>
      </c>
      <c r="F25" s="60">
        <v>2025</v>
      </c>
      <c r="G25" s="115">
        <f>EOMONTH(DATE(BudgetHistory[[#This Row],[Year End]],BudgetHistory[[#This Row],[Month End]],1),0)</f>
        <v>45869</v>
      </c>
      <c r="H25" s="59">
        <v>294</v>
      </c>
    </row>
    <row r="26" spans="1:8" ht="26.25" customHeight="1">
      <c r="A26" s="57" t="s">
        <v>64</v>
      </c>
      <c r="B26" s="101">
        <v>2</v>
      </c>
      <c r="C26" s="60">
        <v>2024</v>
      </c>
      <c r="D26" s="115">
        <f>DATE(BudgetHistory[[#This Row],[Year Start]],BudgetHistory[[#This Row],[Month Start]],1)</f>
        <v>45323</v>
      </c>
      <c r="E26" s="101">
        <v>9</v>
      </c>
      <c r="F26" s="60">
        <v>2024</v>
      </c>
      <c r="G26" s="115">
        <f>EOMONTH(DATE(BudgetHistory[[#This Row],[Year End]],BudgetHistory[[#This Row],[Month End]],1),0)</f>
        <v>45565</v>
      </c>
      <c r="H26" s="59">
        <v>288</v>
      </c>
    </row>
    <row r="27" spans="1:8" ht="26.25" customHeight="1">
      <c r="A27" s="57" t="s">
        <v>52</v>
      </c>
      <c r="B27" s="101">
        <v>2</v>
      </c>
      <c r="C27" s="60">
        <v>2024</v>
      </c>
      <c r="D27" s="115">
        <f>DATE(BudgetHistory[[#This Row],[Year Start]],BudgetHistory[[#This Row],[Month Start]],1)</f>
        <v>45323</v>
      </c>
      <c r="E27" s="101">
        <v>7</v>
      </c>
      <c r="F27" s="60">
        <v>2024</v>
      </c>
      <c r="G27" s="115">
        <f>EOMONTH(DATE(BudgetHistory[[#This Row],[Year End]],BudgetHistory[[#This Row],[Month End]],1),0)</f>
        <v>45504</v>
      </c>
      <c r="H27" s="59">
        <v>75</v>
      </c>
    </row>
    <row r="28" spans="1:8" ht="26.25" customHeight="1">
      <c r="A28" s="57" t="s">
        <v>60</v>
      </c>
      <c r="B28" s="101">
        <v>2</v>
      </c>
      <c r="C28" s="60">
        <v>2024</v>
      </c>
      <c r="D28" s="115">
        <f>DATE(BudgetHistory[[#This Row],[Year Start]],BudgetHistory[[#This Row],[Month Start]],1)</f>
        <v>45323</v>
      </c>
      <c r="E28" s="101">
        <v>9</v>
      </c>
      <c r="F28" s="60">
        <v>2025</v>
      </c>
      <c r="G28" s="115">
        <f>EOMONTH(DATE(BudgetHistory[[#This Row],[Year End]],BudgetHistory[[#This Row],[Month End]],1),0)</f>
        <v>45930</v>
      </c>
      <c r="H28" s="59">
        <v>101</v>
      </c>
    </row>
    <row r="29" spans="1:8" ht="26.25" customHeight="1">
      <c r="A29" s="57" t="s">
        <v>39</v>
      </c>
      <c r="B29" s="101">
        <v>9</v>
      </c>
      <c r="C29" s="60">
        <v>2024</v>
      </c>
      <c r="D29" s="115">
        <f>DATE(BudgetHistory[[#This Row],[Year Start]],BudgetHistory[[#This Row],[Month Start]],1)</f>
        <v>45536</v>
      </c>
      <c r="E29" s="101">
        <v>5</v>
      </c>
      <c r="F29" s="60">
        <v>2025</v>
      </c>
      <c r="G29" s="115">
        <f>EOMONTH(DATE(BudgetHistory[[#This Row],[Year End]],BudgetHistory[[#This Row],[Month End]],1),0)</f>
        <v>45808</v>
      </c>
      <c r="H29" s="59">
        <v>104.62</v>
      </c>
    </row>
    <row r="30" spans="1:8" ht="26.25" customHeight="1">
      <c r="A30" s="57" t="s">
        <v>39</v>
      </c>
      <c r="B30" s="101">
        <v>2</v>
      </c>
      <c r="C30" s="60">
        <v>2024</v>
      </c>
      <c r="D30" s="115">
        <f>DATE(BudgetHistory[[#This Row],[Year Start]],BudgetHistory[[#This Row],[Month Start]],1)</f>
        <v>45323</v>
      </c>
      <c r="E30" s="101">
        <v>9</v>
      </c>
      <c r="F30" s="60">
        <v>2024</v>
      </c>
      <c r="G30" s="115">
        <f>EOMONTH(DATE(BudgetHistory[[#This Row],[Year End]],BudgetHistory[[#This Row],[Month End]],1),0)</f>
        <v>45565</v>
      </c>
      <c r="H30" s="59">
        <v>96.71</v>
      </c>
    </row>
    <row r="31" spans="1:8" ht="26.25" customHeight="1">
      <c r="A31" s="57" t="s">
        <v>49</v>
      </c>
      <c r="B31" s="101">
        <v>2</v>
      </c>
      <c r="C31" s="60">
        <v>2024</v>
      </c>
      <c r="D31" s="115">
        <f>DATE(BudgetHistory[[#This Row],[Year Start]],BudgetHistory[[#This Row],[Month Start]],1)</f>
        <v>45323</v>
      </c>
      <c r="E31" s="101">
        <v>10</v>
      </c>
      <c r="F31" s="60">
        <v>2024</v>
      </c>
      <c r="G31" s="115">
        <f>EOMONTH(DATE(BudgetHistory[[#This Row],[Year End]],BudgetHistory[[#This Row],[Month End]],1),0)</f>
        <v>45596</v>
      </c>
      <c r="H31" s="59">
        <v>200</v>
      </c>
    </row>
    <row r="32" spans="1:8" ht="26.25" customHeight="1">
      <c r="A32" s="57" t="s">
        <v>49</v>
      </c>
      <c r="B32" s="101">
        <v>11</v>
      </c>
      <c r="C32" s="60">
        <v>2024</v>
      </c>
      <c r="D32" s="115">
        <f>DATE(BudgetHistory[[#This Row],[Year Start]],BudgetHistory[[#This Row],[Month Start]],1)</f>
        <v>45597</v>
      </c>
      <c r="E32" s="101">
        <v>11</v>
      </c>
      <c r="F32" s="60">
        <v>2025</v>
      </c>
      <c r="G32" s="115">
        <f>EOMONTH(DATE(BudgetHistory[[#This Row],[Year End]],BudgetHistory[[#This Row],[Month End]],1),0)</f>
        <v>45991</v>
      </c>
      <c r="H32" s="59">
        <v>150</v>
      </c>
    </row>
    <row r="33" spans="1:11" ht="26.25" customHeight="1">
      <c r="A33" s="57" t="s">
        <v>53</v>
      </c>
      <c r="B33" s="101">
        <v>2</v>
      </c>
      <c r="C33" s="60">
        <v>2024</v>
      </c>
      <c r="D33" s="115">
        <f>DATE(BudgetHistory[[#This Row],[Year Start]],BudgetHistory[[#This Row],[Month Start]],1)</f>
        <v>45323</v>
      </c>
      <c r="E33" s="101">
        <v>2</v>
      </c>
      <c r="F33" s="60">
        <v>2024</v>
      </c>
      <c r="G33" s="115">
        <f>EOMONTH(DATE(BudgetHistory[[#This Row],[Year End]],BudgetHistory[[#This Row],[Month End]],1),0)</f>
        <v>45351</v>
      </c>
      <c r="H33" s="59">
        <v>0.01</v>
      </c>
    </row>
    <row r="34" spans="1:11" ht="26.25" customHeight="1">
      <c r="A34" s="57" t="s">
        <v>53</v>
      </c>
      <c r="B34" s="60">
        <v>5</v>
      </c>
      <c r="C34" s="60">
        <v>2024</v>
      </c>
      <c r="D34" s="115">
        <f>DATE(BudgetHistory[[#This Row],[Year Start]],BudgetHistory[[#This Row],[Month Start]],1)</f>
        <v>45413</v>
      </c>
      <c r="E34" s="101">
        <v>7</v>
      </c>
      <c r="F34" s="60">
        <v>2024</v>
      </c>
      <c r="G34" s="115">
        <f>EOMONTH(DATE(BudgetHistory[[#This Row],[Year End]],BudgetHistory[[#This Row],[Month End]],1),0)</f>
        <v>45504</v>
      </c>
      <c r="H34" s="59">
        <v>450</v>
      </c>
    </row>
    <row r="35" spans="1:11" ht="26.25" customHeight="1">
      <c r="A35" s="57" t="s">
        <v>53</v>
      </c>
      <c r="B35" s="101">
        <v>2</v>
      </c>
      <c r="C35" s="60">
        <v>2024</v>
      </c>
      <c r="D35" s="115">
        <f>DATE(BudgetHistory[[#This Row],[Year Start]],BudgetHistory[[#This Row],[Month Start]],1)</f>
        <v>45323</v>
      </c>
      <c r="E35" s="101">
        <v>4</v>
      </c>
      <c r="F35" s="60">
        <v>2024</v>
      </c>
      <c r="G35" s="115">
        <f>EOMONTH(DATE(BudgetHistory[[#This Row],[Year End]],BudgetHistory[[#This Row],[Month End]],1),0)</f>
        <v>45412</v>
      </c>
      <c r="H35" s="59">
        <v>50</v>
      </c>
    </row>
    <row r="36" spans="1:11" ht="26.25" customHeight="1">
      <c r="A36" s="57" t="s">
        <v>43</v>
      </c>
      <c r="B36" s="101">
        <v>2</v>
      </c>
      <c r="C36" s="60">
        <v>2024</v>
      </c>
      <c r="D36" s="115">
        <f>DATE(BudgetHistory[[#This Row],[Year Start]],BudgetHistory[[#This Row],[Month Start]],1)</f>
        <v>45323</v>
      </c>
      <c r="E36" s="101">
        <v>9</v>
      </c>
      <c r="F36" s="60">
        <v>2025</v>
      </c>
      <c r="G36" s="115">
        <f>EOMONTH(DATE(BudgetHistory[[#This Row],[Year End]],BudgetHistory[[#This Row],[Month End]],1),0)</f>
        <v>45930</v>
      </c>
      <c r="H36" s="59">
        <v>49.294999999999995</v>
      </c>
    </row>
    <row r="37" spans="1:11" ht="26.25" customHeight="1">
      <c r="A37" s="57" t="s">
        <v>32</v>
      </c>
      <c r="B37" s="101">
        <v>2</v>
      </c>
      <c r="C37" s="60">
        <v>2024</v>
      </c>
      <c r="D37" s="115">
        <f>DATE(BudgetHistory[[#This Row],[Year Start]],BudgetHistory[[#This Row],[Month Start]],1)</f>
        <v>45323</v>
      </c>
      <c r="E37" s="101">
        <v>11</v>
      </c>
      <c r="F37" s="60">
        <v>2025</v>
      </c>
      <c r="G37" s="115">
        <f>EOMONTH(DATE(BudgetHistory[[#This Row],[Year End]],BudgetHistory[[#This Row],[Month End]],1),0)</f>
        <v>45991</v>
      </c>
      <c r="H37" s="59">
        <v>300</v>
      </c>
    </row>
    <row r="38" spans="1:11" ht="26.25" customHeight="1">
      <c r="A38" s="57" t="s">
        <v>31</v>
      </c>
      <c r="B38" s="101">
        <v>2</v>
      </c>
      <c r="C38" s="60">
        <v>2024</v>
      </c>
      <c r="D38" s="115">
        <f>DATE(BudgetHistory[[#This Row],[Year Start]],BudgetHistory[[#This Row],[Month Start]],1)</f>
        <v>45323</v>
      </c>
      <c r="E38" s="101">
        <v>2</v>
      </c>
      <c r="F38" s="60">
        <v>2024</v>
      </c>
      <c r="G38" s="115">
        <f>EOMONTH(DATE(BudgetHistory[[#This Row],[Year End]],BudgetHistory[[#This Row],[Month End]],1),0)</f>
        <v>45351</v>
      </c>
      <c r="H38" s="59">
        <v>0.01</v>
      </c>
    </row>
    <row r="39" spans="1:11" ht="26.25" customHeight="1">
      <c r="A39" s="57" t="s">
        <v>30</v>
      </c>
      <c r="B39" s="101">
        <v>2</v>
      </c>
      <c r="C39" s="60">
        <v>2024</v>
      </c>
      <c r="D39" s="115">
        <f>DATE(BudgetHistory[[#This Row],[Year Start]],BudgetHistory[[#This Row],[Month Start]],1)</f>
        <v>45323</v>
      </c>
      <c r="E39" s="101">
        <v>3</v>
      </c>
      <c r="F39" s="60">
        <v>2025</v>
      </c>
      <c r="G39" s="115">
        <f>EOMONTH(DATE(BudgetHistory[[#This Row],[Year End]],BudgetHistory[[#This Row],[Month End]],1),0)</f>
        <v>45747</v>
      </c>
      <c r="H39" s="59">
        <v>214.82</v>
      </c>
    </row>
    <row r="40" spans="1:11" ht="26.25" customHeight="1">
      <c r="A40" s="57" t="s">
        <v>45</v>
      </c>
      <c r="B40" s="101">
        <v>2</v>
      </c>
      <c r="C40" s="60">
        <v>2024</v>
      </c>
      <c r="D40" s="115">
        <f>DATE(BudgetHistory[[#This Row],[Year Start]],BudgetHistory[[#This Row],[Month Start]],1)</f>
        <v>45323</v>
      </c>
      <c r="E40" s="101">
        <v>9</v>
      </c>
      <c r="F40" s="60">
        <v>2024</v>
      </c>
      <c r="G40" s="115">
        <f>EOMONTH(DATE(BudgetHistory[[#This Row],[Year End]],BudgetHistory[[#This Row],[Month End]],1),0)</f>
        <v>45565</v>
      </c>
      <c r="H40" s="59">
        <v>40</v>
      </c>
    </row>
    <row r="41" spans="1:11" ht="26.25" customHeight="1">
      <c r="A41" s="57" t="s">
        <v>34</v>
      </c>
      <c r="B41" s="101">
        <v>2</v>
      </c>
      <c r="C41" s="60">
        <v>2024</v>
      </c>
      <c r="D41" s="115">
        <f>DATE(BudgetHistory[[#This Row],[Year Start]],BudgetHistory[[#This Row],[Month Start]],1)</f>
        <v>45323</v>
      </c>
      <c r="E41" s="101">
        <v>2</v>
      </c>
      <c r="F41" s="60">
        <v>2024</v>
      </c>
      <c r="G41" s="115">
        <f>EOMONTH(DATE(BudgetHistory[[#This Row],[Year End]],BudgetHistory[[#This Row],[Month End]],1),0)</f>
        <v>45351</v>
      </c>
      <c r="H41" s="59">
        <v>0.01</v>
      </c>
    </row>
    <row r="42" spans="1:11" ht="26.25" customHeight="1">
      <c r="G42" s="43"/>
    </row>
    <row r="43" spans="1:11" ht="26.25" customHeight="1">
      <c r="G43" s="43"/>
    </row>
    <row r="44" spans="1:11" ht="26.25" customHeight="1">
      <c r="G44" s="43"/>
      <c r="K44"/>
    </row>
    <row r="45" spans="1:11" ht="26.25" customHeight="1">
      <c r="G45" s="43"/>
    </row>
    <row r="46" spans="1:11" ht="26.25" customHeight="1">
      <c r="D46">
        <v>294</v>
      </c>
      <c r="G46" s="43"/>
    </row>
    <row r="47" spans="1:11" ht="26.25" customHeight="1">
      <c r="G47" s="43"/>
    </row>
    <row r="48" spans="1:11" ht="26.25" customHeight="1">
      <c r="G48" s="43"/>
    </row>
    <row r="49" spans="7:7" ht="26.25" customHeight="1">
      <c r="G49" s="43"/>
    </row>
    <row r="50" spans="7:7" ht="26.25" customHeight="1">
      <c r="G50" s="43"/>
    </row>
    <row r="51" spans="7:7" ht="26.25" customHeight="1">
      <c r="G51" s="43"/>
    </row>
    <row r="52" spans="7:7" ht="26.25" customHeight="1">
      <c r="G52" s="43"/>
    </row>
    <row r="53" spans="7:7" ht="26.25" customHeight="1">
      <c r="G53" s="43"/>
    </row>
    <row r="54" spans="7:7" ht="26.25" customHeight="1">
      <c r="G54" s="43"/>
    </row>
    <row r="55" spans="7:7" ht="26.25" customHeight="1">
      <c r="G55" s="43"/>
    </row>
    <row r="56" spans="7:7" ht="26.25" customHeight="1">
      <c r="G56" s="43"/>
    </row>
    <row r="57" spans="7:7" ht="26.25" customHeight="1">
      <c r="G57" s="43"/>
    </row>
    <row r="58" spans="7:7" ht="26.25" customHeight="1">
      <c r="G58" s="43"/>
    </row>
    <row r="59" spans="7:7" ht="26.25" customHeight="1">
      <c r="G59" s="43"/>
    </row>
    <row r="60" spans="7:7" ht="26.25" customHeight="1">
      <c r="G60" s="43"/>
    </row>
    <row r="61" spans="7:7" ht="26.25" customHeight="1">
      <c r="G61" s="43"/>
    </row>
    <row r="62" spans="7:7" ht="26.25" customHeight="1">
      <c r="G62" s="43"/>
    </row>
    <row r="63" spans="7:7" ht="26.25" customHeight="1">
      <c r="G63" s="43"/>
    </row>
    <row r="64" spans="7:7" ht="26.25" customHeight="1">
      <c r="G64" s="43"/>
    </row>
    <row r="65" spans="7:7" ht="26.25" customHeight="1">
      <c r="G65" s="43"/>
    </row>
    <row r="66" spans="7:7" ht="26.25" customHeight="1">
      <c r="G66" s="43"/>
    </row>
    <row r="67" spans="7:7" ht="26.25" customHeight="1">
      <c r="G67" s="43"/>
    </row>
    <row r="68" spans="7:7" ht="26.25" customHeight="1">
      <c r="G68" s="43"/>
    </row>
    <row r="69" spans="7:7" ht="26.25" customHeight="1">
      <c r="G69" s="43"/>
    </row>
    <row r="70" spans="7:7" ht="26.25" customHeight="1">
      <c r="G70" s="43"/>
    </row>
    <row r="71" spans="7:7" ht="26.25" customHeight="1">
      <c r="G71" s="43"/>
    </row>
    <row r="72" spans="7:7" ht="26.25" customHeight="1">
      <c r="G72" s="43"/>
    </row>
    <row r="73" spans="7:7" ht="26.25" customHeight="1">
      <c r="G73" s="43"/>
    </row>
    <row r="74" spans="7:7" ht="26.25" customHeight="1">
      <c r="G74" s="43"/>
    </row>
    <row r="75" spans="7:7" ht="26.25" customHeight="1">
      <c r="G75" s="43"/>
    </row>
    <row r="76" spans="7:7" ht="26.25" customHeight="1">
      <c r="G76" s="43"/>
    </row>
    <row r="77" spans="7:7" ht="26.25" customHeight="1">
      <c r="G77" s="43"/>
    </row>
    <row r="78" spans="7:7" ht="26.25" customHeight="1">
      <c r="G78" s="43"/>
    </row>
    <row r="79" spans="7:7" ht="26.25" customHeight="1">
      <c r="G79" s="43"/>
    </row>
    <row r="80" spans="7:7" ht="26.25" customHeight="1">
      <c r="G80" s="43"/>
    </row>
    <row r="81" spans="7:7" ht="26.25" customHeight="1">
      <c r="G81" s="43"/>
    </row>
    <row r="82" spans="7:7" ht="26.25" customHeight="1">
      <c r="G82" s="43"/>
    </row>
    <row r="83" spans="7:7" ht="26.25" customHeight="1">
      <c r="G83" s="43"/>
    </row>
    <row r="84" spans="7:7" ht="26.25" customHeight="1">
      <c r="G84" s="43"/>
    </row>
    <row r="85" spans="7:7" ht="26.25" customHeight="1">
      <c r="G85" s="43"/>
    </row>
    <row r="86" spans="7:7" ht="26.25" customHeight="1">
      <c r="G86" s="43"/>
    </row>
    <row r="87" spans="7:7" ht="26.25" customHeight="1">
      <c r="G87" s="43"/>
    </row>
    <row r="88" spans="7:7" ht="26.25" customHeight="1">
      <c r="G88" s="43"/>
    </row>
    <row r="89" spans="7:7" ht="26.25" customHeight="1">
      <c r="G89" s="43"/>
    </row>
    <row r="90" spans="7:7" ht="26.25" customHeight="1">
      <c r="G90" s="43"/>
    </row>
    <row r="91" spans="7:7" ht="26.25" customHeight="1">
      <c r="G91" s="43"/>
    </row>
    <row r="92" spans="7:7" ht="26.25" customHeight="1">
      <c r="G92" s="43"/>
    </row>
    <row r="93" spans="7:7" ht="26.25" customHeight="1">
      <c r="G93" s="43"/>
    </row>
    <row r="94" spans="7:7" ht="26.25" customHeight="1">
      <c r="G94" s="43"/>
    </row>
    <row r="95" spans="7:7" ht="26.25" customHeight="1">
      <c r="G95" s="43"/>
    </row>
    <row r="96" spans="7:7" ht="26.25" customHeight="1">
      <c r="G96" s="43"/>
    </row>
    <row r="97" spans="7:7" ht="26.25" customHeight="1">
      <c r="G97" s="43"/>
    </row>
    <row r="98" spans="7:7" ht="26.25" customHeight="1">
      <c r="G98" s="43"/>
    </row>
    <row r="99" spans="7:7" ht="26.25" customHeight="1">
      <c r="G99" s="43"/>
    </row>
    <row r="100" spans="7:7" ht="26.25" customHeight="1">
      <c r="G100" s="43"/>
    </row>
    <row r="101" spans="7:7" ht="26.25" customHeight="1">
      <c r="G101" s="43"/>
    </row>
    <row r="102" spans="7:7" ht="26.25" customHeight="1">
      <c r="G102" s="43"/>
    </row>
    <row r="103" spans="7:7" ht="26.25" customHeight="1">
      <c r="G103" s="43"/>
    </row>
    <row r="104" spans="7:7" ht="26.25" customHeight="1">
      <c r="G104" s="43"/>
    </row>
    <row r="105" spans="7:7" ht="26.25" customHeight="1">
      <c r="G105" s="43"/>
    </row>
    <row r="106" spans="7:7" ht="26.25" customHeight="1">
      <c r="G106" s="43"/>
    </row>
    <row r="107" spans="7:7" ht="26.25" customHeight="1">
      <c r="G107" s="43"/>
    </row>
    <row r="108" spans="7:7" ht="26.25" customHeight="1">
      <c r="G108" s="43"/>
    </row>
    <row r="109" spans="7:7" ht="26.25" customHeight="1">
      <c r="G109" s="43"/>
    </row>
    <row r="110" spans="7:7" ht="26.25" customHeight="1">
      <c r="G110" s="43"/>
    </row>
    <row r="111" spans="7:7" ht="26.25" customHeight="1">
      <c r="G111" s="43"/>
    </row>
    <row r="112" spans="7:7" ht="26.25" customHeight="1">
      <c r="G112" s="43"/>
    </row>
    <row r="113" spans="7:7" ht="26.25" customHeight="1">
      <c r="G113" s="43"/>
    </row>
    <row r="114" spans="7:7" ht="26.25" customHeight="1">
      <c r="G114" s="43"/>
    </row>
    <row r="115" spans="7:7" ht="26.25" customHeight="1">
      <c r="G115" s="43"/>
    </row>
    <row r="116" spans="7:7" ht="26.25" customHeight="1">
      <c r="G116" s="43"/>
    </row>
    <row r="117" spans="7:7" ht="26.25" customHeight="1">
      <c r="G117" s="43"/>
    </row>
    <row r="118" spans="7:7" ht="26.25" customHeight="1">
      <c r="G118" s="43"/>
    </row>
    <row r="119" spans="7:7" ht="26.25" customHeight="1">
      <c r="G119" s="43"/>
    </row>
    <row r="120" spans="7:7" ht="26.25" customHeight="1">
      <c r="G120" s="43"/>
    </row>
    <row r="121" spans="7:7" ht="26.25" customHeight="1">
      <c r="G121" s="43"/>
    </row>
    <row r="122" spans="7:7" ht="26.25" customHeight="1">
      <c r="G122" s="43"/>
    </row>
    <row r="123" spans="7:7" ht="26.25" customHeight="1">
      <c r="G123" s="43"/>
    </row>
    <row r="124" spans="7:7" ht="26.25" customHeight="1">
      <c r="G124" s="43"/>
    </row>
    <row r="125" spans="7:7" ht="26.25" customHeight="1">
      <c r="G125" s="43"/>
    </row>
    <row r="126" spans="7:7" ht="26.25" customHeight="1">
      <c r="G126" s="43"/>
    </row>
    <row r="127" spans="7:7" ht="26.25" customHeight="1">
      <c r="G127" s="43"/>
    </row>
    <row r="128" spans="7:7" ht="26.25" customHeight="1">
      <c r="G128" s="43"/>
    </row>
    <row r="129" spans="7:7" ht="26.25" customHeight="1">
      <c r="G129" s="43"/>
    </row>
    <row r="130" spans="7:7" ht="26.25" customHeight="1">
      <c r="G130" s="43"/>
    </row>
    <row r="131" spans="7:7" ht="26.25" customHeight="1">
      <c r="G131" s="43"/>
    </row>
    <row r="132" spans="7:7" ht="26.25" customHeight="1">
      <c r="G132" s="43"/>
    </row>
    <row r="133" spans="7:7" ht="26.25" customHeight="1">
      <c r="G133" s="43"/>
    </row>
    <row r="134" spans="7:7" ht="26.25" customHeight="1">
      <c r="G134" s="43"/>
    </row>
    <row r="135" spans="7:7" ht="26.25" customHeight="1">
      <c r="G135" s="43"/>
    </row>
    <row r="136" spans="7:7" ht="26.25" customHeight="1">
      <c r="G136" s="43"/>
    </row>
    <row r="137" spans="7:7" ht="26.25" customHeight="1">
      <c r="G137" s="43"/>
    </row>
    <row r="138" spans="7:7" ht="26.25" customHeight="1">
      <c r="G138" s="43"/>
    </row>
    <row r="139" spans="7:7" ht="26.25" customHeight="1">
      <c r="G139" s="43"/>
    </row>
    <row r="140" spans="7:7" ht="26.25" customHeight="1">
      <c r="G140" s="43"/>
    </row>
    <row r="141" spans="7:7" ht="26.25" customHeight="1">
      <c r="G141" s="43"/>
    </row>
    <row r="142" spans="7:7" ht="26.25" customHeight="1">
      <c r="G142" s="43"/>
    </row>
    <row r="143" spans="7:7" ht="26.25" customHeight="1">
      <c r="G143" s="43"/>
    </row>
    <row r="144" spans="7:7" ht="26.25" customHeight="1">
      <c r="G144" s="43"/>
    </row>
    <row r="145" spans="7:7" ht="26.25" customHeight="1">
      <c r="G145" s="43"/>
    </row>
    <row r="146" spans="7:7" ht="26.25" customHeight="1">
      <c r="G146" s="43"/>
    </row>
    <row r="147" spans="7:7" ht="26.25" customHeight="1">
      <c r="G147" s="43"/>
    </row>
    <row r="148" spans="7:7" ht="26.25" customHeight="1">
      <c r="G148" s="43"/>
    </row>
    <row r="149" spans="7:7" ht="26.25" customHeight="1">
      <c r="G149" s="43"/>
    </row>
    <row r="150" spans="7:7" ht="26.25" customHeight="1">
      <c r="G150" s="43"/>
    </row>
    <row r="151" spans="7:7" ht="26.25" customHeight="1">
      <c r="G151" s="43"/>
    </row>
    <row r="152" spans="7:7" ht="26.25" customHeight="1">
      <c r="G152" s="43"/>
    </row>
    <row r="153" spans="7:7" ht="26.25" customHeight="1">
      <c r="G153" s="43"/>
    </row>
    <row r="154" spans="7:7" ht="26.25" customHeight="1">
      <c r="G154" s="43"/>
    </row>
    <row r="155" spans="7:7" ht="26.25" customHeight="1">
      <c r="G155" s="43"/>
    </row>
    <row r="156" spans="7:7" ht="26.25" customHeight="1">
      <c r="G156" s="43"/>
    </row>
    <row r="157" spans="7:7" ht="26.25" customHeight="1">
      <c r="G157" s="43"/>
    </row>
    <row r="158" spans="7:7" ht="26.25" customHeight="1">
      <c r="G158" s="43"/>
    </row>
    <row r="159" spans="7:7" ht="26.25" customHeight="1">
      <c r="G159" s="43"/>
    </row>
    <row r="160" spans="7:7" ht="26.25" customHeight="1">
      <c r="G160" s="43"/>
    </row>
    <row r="161" spans="7:7" ht="26.25" customHeight="1">
      <c r="G161" s="43"/>
    </row>
    <row r="162" spans="7:7" ht="26.25" customHeight="1">
      <c r="G162" s="43"/>
    </row>
    <row r="163" spans="7:7" ht="26.25" customHeight="1">
      <c r="G163" s="43"/>
    </row>
    <row r="164" spans="7:7" ht="26.25" customHeight="1">
      <c r="G164" s="43"/>
    </row>
    <row r="165" spans="7:7" ht="26.25" customHeight="1">
      <c r="G165" s="43"/>
    </row>
  </sheetData>
  <dataValidations count="1">
    <dataValidation type="list" allowBlank="1" showInputMessage="1" showErrorMessage="1" sqref="A2:A41" xr:uid="{0389FB14-94DD-4225-861C-BE73FD868ADE}">
      <formula1>Expenses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0E7A-E29A-4F56-ABD2-70769FD9EC5F}">
  <dimension ref="A1:D443"/>
  <sheetViews>
    <sheetView topLeftCell="I195" workbookViewId="0">
      <selection activeCell="I250" sqref="I250"/>
    </sheetView>
  </sheetViews>
  <sheetFormatPr defaultRowHeight="15"/>
  <cols>
    <col min="1" max="1" width="48" bestFit="1" customWidth="1"/>
    <col min="2" max="2" width="37.140625" bestFit="1" customWidth="1"/>
    <col min="3" max="3" width="11.85546875" customWidth="1"/>
    <col min="4" max="4" width="17.42578125" bestFit="1" customWidth="1"/>
    <col min="6" max="6" width="17.140625" bestFit="1" customWidth="1"/>
    <col min="7" max="7" width="24.42578125" bestFit="1" customWidth="1"/>
  </cols>
  <sheetData>
    <row r="1" spans="1:4" s="49" customFormat="1" ht="23.25" customHeight="1" thickBot="1">
      <c r="A1" s="46" t="s">
        <v>3371</v>
      </c>
      <c r="B1" s="46" t="s">
        <v>3372</v>
      </c>
      <c r="C1" s="46" t="s">
        <v>122</v>
      </c>
      <c r="D1" s="46" t="s">
        <v>72</v>
      </c>
    </row>
    <row r="2" spans="1:4">
      <c r="A2" t="s">
        <v>3373</v>
      </c>
      <c r="B2" t="s">
        <v>3374</v>
      </c>
      <c r="D2" t="s">
        <v>57</v>
      </c>
    </row>
    <row r="3" spans="1:4">
      <c r="A3" t="s">
        <v>3375</v>
      </c>
      <c r="B3" t="s">
        <v>3374</v>
      </c>
      <c r="D3" t="s">
        <v>58</v>
      </c>
    </row>
    <row r="4" spans="1:4">
      <c r="A4" t="s">
        <v>3376</v>
      </c>
      <c r="D4" t="s">
        <v>29</v>
      </c>
    </row>
    <row r="5" spans="1:4">
      <c r="A5" t="s">
        <v>3377</v>
      </c>
      <c r="B5" t="s">
        <v>3374</v>
      </c>
      <c r="D5" t="s">
        <v>79</v>
      </c>
    </row>
    <row r="6" spans="1:4">
      <c r="A6" t="s">
        <v>3378</v>
      </c>
      <c r="B6" t="s">
        <v>3374</v>
      </c>
      <c r="D6" t="s">
        <v>72</v>
      </c>
    </row>
    <row r="7" spans="1:4">
      <c r="A7" t="s">
        <v>3379</v>
      </c>
      <c r="B7" t="s">
        <v>3374</v>
      </c>
      <c r="D7" t="s">
        <v>65</v>
      </c>
    </row>
    <row r="8" spans="1:4">
      <c r="A8" t="s">
        <v>3380</v>
      </c>
      <c r="B8" t="s">
        <v>3374</v>
      </c>
      <c r="D8" t="s">
        <v>48</v>
      </c>
    </row>
    <row r="9" spans="1:4">
      <c r="A9" t="s">
        <v>3381</v>
      </c>
      <c r="B9" t="s">
        <v>3374</v>
      </c>
      <c r="D9" t="s">
        <v>58</v>
      </c>
    </row>
    <row r="10" spans="1:4">
      <c r="A10" t="s">
        <v>3382</v>
      </c>
      <c r="B10" t="s">
        <v>3374</v>
      </c>
      <c r="D10" t="s">
        <v>58</v>
      </c>
    </row>
    <row r="11" spans="1:4">
      <c r="A11" t="s">
        <v>3383</v>
      </c>
      <c r="B11" t="s">
        <v>3374</v>
      </c>
      <c r="D11" t="s">
        <v>54</v>
      </c>
    </row>
    <row r="12" spans="1:4">
      <c r="A12" t="s">
        <v>3384</v>
      </c>
      <c r="B12" t="s">
        <v>3374</v>
      </c>
      <c r="D12" t="s">
        <v>32</v>
      </c>
    </row>
    <row r="13" spans="1:4">
      <c r="A13" t="s">
        <v>3385</v>
      </c>
      <c r="D13" t="s">
        <v>72</v>
      </c>
    </row>
    <row r="14" spans="1:4">
      <c r="A14" t="s">
        <v>3386</v>
      </c>
      <c r="B14" t="s">
        <v>3374</v>
      </c>
      <c r="D14" t="s">
        <v>32</v>
      </c>
    </row>
    <row r="15" spans="1:4">
      <c r="A15" t="s">
        <v>3387</v>
      </c>
      <c r="B15" t="s">
        <v>3374</v>
      </c>
      <c r="D15" t="s">
        <v>72</v>
      </c>
    </row>
    <row r="16" spans="1:4">
      <c r="A16" t="s">
        <v>3388</v>
      </c>
      <c r="B16" t="s">
        <v>3374</v>
      </c>
      <c r="D16" t="s">
        <v>72</v>
      </c>
    </row>
    <row r="17" spans="1:4">
      <c r="A17" t="s">
        <v>3389</v>
      </c>
      <c r="B17" t="s">
        <v>3374</v>
      </c>
      <c r="D17" t="s">
        <v>45</v>
      </c>
    </row>
    <row r="18" spans="1:4">
      <c r="A18" t="s">
        <v>3390</v>
      </c>
      <c r="B18" t="s">
        <v>3374</v>
      </c>
      <c r="D18" t="s">
        <v>43</v>
      </c>
    </row>
    <row r="19" spans="1:4">
      <c r="A19" t="s">
        <v>3391</v>
      </c>
      <c r="B19" t="s">
        <v>3374</v>
      </c>
      <c r="D19" t="s">
        <v>57</v>
      </c>
    </row>
    <row r="20" spans="1:4">
      <c r="A20" t="s">
        <v>3392</v>
      </c>
      <c r="B20" t="s">
        <v>3374</v>
      </c>
      <c r="D20" t="s">
        <v>59</v>
      </c>
    </row>
    <row r="21" spans="1:4">
      <c r="A21" t="s">
        <v>3393</v>
      </c>
      <c r="B21" t="s">
        <v>3374</v>
      </c>
      <c r="D21" t="s">
        <v>42</v>
      </c>
    </row>
    <row r="22" spans="1:4">
      <c r="A22" t="s">
        <v>3394</v>
      </c>
      <c r="D22" t="s">
        <v>63</v>
      </c>
    </row>
    <row r="23" spans="1:4">
      <c r="A23" t="s">
        <v>3395</v>
      </c>
      <c r="B23" t="s">
        <v>3396</v>
      </c>
      <c r="D23" t="s">
        <v>51</v>
      </c>
    </row>
    <row r="24" spans="1:4">
      <c r="A24" t="s">
        <v>3397</v>
      </c>
      <c r="D24" t="s">
        <v>48</v>
      </c>
    </row>
    <row r="25" spans="1:4">
      <c r="A25" t="s">
        <v>3398</v>
      </c>
      <c r="B25" t="s">
        <v>3399</v>
      </c>
      <c r="D25" t="s">
        <v>49</v>
      </c>
    </row>
    <row r="26" spans="1:4">
      <c r="A26" t="s">
        <v>3400</v>
      </c>
      <c r="B26" t="s">
        <v>3374</v>
      </c>
      <c r="D26" t="s">
        <v>32</v>
      </c>
    </row>
    <row r="27" spans="1:4">
      <c r="A27" t="s">
        <v>3401</v>
      </c>
      <c r="B27" t="s">
        <v>3374</v>
      </c>
      <c r="D27" t="s">
        <v>59</v>
      </c>
    </row>
    <row r="28" spans="1:4">
      <c r="A28" t="s">
        <v>3402</v>
      </c>
      <c r="B28" t="s">
        <v>3374</v>
      </c>
      <c r="D28" t="s">
        <v>39</v>
      </c>
    </row>
    <row r="29" spans="1:4">
      <c r="A29" t="s">
        <v>3403</v>
      </c>
      <c r="B29" t="s">
        <v>3374</v>
      </c>
      <c r="D29" t="s">
        <v>50</v>
      </c>
    </row>
    <row r="30" spans="1:4">
      <c r="A30" t="s">
        <v>3404</v>
      </c>
      <c r="B30" t="s">
        <v>3405</v>
      </c>
      <c r="D30" t="s">
        <v>51</v>
      </c>
    </row>
    <row r="31" spans="1:4">
      <c r="A31" t="s">
        <v>3406</v>
      </c>
      <c r="B31" t="s">
        <v>3374</v>
      </c>
      <c r="D31" t="s">
        <v>48</v>
      </c>
    </row>
    <row r="32" spans="1:4">
      <c r="A32" t="s">
        <v>3407</v>
      </c>
      <c r="D32" t="s">
        <v>187</v>
      </c>
    </row>
    <row r="33" spans="1:4">
      <c r="A33" t="s">
        <v>3408</v>
      </c>
      <c r="D33" t="s">
        <v>48</v>
      </c>
    </row>
    <row r="34" spans="1:4">
      <c r="A34" t="s">
        <v>3409</v>
      </c>
      <c r="B34" t="s">
        <v>3374</v>
      </c>
      <c r="D34" t="s">
        <v>50</v>
      </c>
    </row>
    <row r="35" spans="1:4">
      <c r="A35" t="s">
        <v>3410</v>
      </c>
      <c r="B35" t="s">
        <v>3374</v>
      </c>
      <c r="D35" t="s">
        <v>54</v>
      </c>
    </row>
    <row r="36" spans="1:4">
      <c r="A36" t="s">
        <v>3411</v>
      </c>
      <c r="B36" t="s">
        <v>3412</v>
      </c>
      <c r="D36" t="s">
        <v>64</v>
      </c>
    </row>
    <row r="37" spans="1:4">
      <c r="A37" t="s">
        <v>3411</v>
      </c>
      <c r="B37" t="s">
        <v>3413</v>
      </c>
      <c r="D37" t="s">
        <v>43</v>
      </c>
    </row>
    <row r="38" spans="1:4">
      <c r="A38" t="s">
        <v>3411</v>
      </c>
      <c r="B38" t="s">
        <v>3414</v>
      </c>
      <c r="D38" t="s">
        <v>33</v>
      </c>
    </row>
    <row r="39" spans="1:4">
      <c r="A39" t="s">
        <v>3411</v>
      </c>
      <c r="B39" t="s">
        <v>3415</v>
      </c>
      <c r="D39" t="s">
        <v>79</v>
      </c>
    </row>
    <row r="40" spans="1:4">
      <c r="A40" t="s">
        <v>3416</v>
      </c>
      <c r="B40" t="s">
        <v>3374</v>
      </c>
      <c r="D40" t="s">
        <v>48</v>
      </c>
    </row>
    <row r="41" spans="1:4">
      <c r="A41" t="s">
        <v>3417</v>
      </c>
      <c r="B41" t="s">
        <v>3374</v>
      </c>
      <c r="D41" t="s">
        <v>54</v>
      </c>
    </row>
    <row r="42" spans="1:4">
      <c r="A42" t="s">
        <v>3418</v>
      </c>
      <c r="B42" t="s">
        <v>3419</v>
      </c>
      <c r="D42" t="s">
        <v>49</v>
      </c>
    </row>
    <row r="43" spans="1:4">
      <c r="A43" t="s">
        <v>3420</v>
      </c>
      <c r="B43" t="s">
        <v>3374</v>
      </c>
      <c r="D43" t="s">
        <v>46</v>
      </c>
    </row>
    <row r="44" spans="1:4">
      <c r="A44" t="s">
        <v>3421</v>
      </c>
      <c r="B44" t="s">
        <v>3374</v>
      </c>
      <c r="D44" t="s">
        <v>48</v>
      </c>
    </row>
    <row r="45" spans="1:4">
      <c r="A45" t="s">
        <v>3422</v>
      </c>
      <c r="B45" t="s">
        <v>3374</v>
      </c>
      <c r="D45" t="s">
        <v>48</v>
      </c>
    </row>
    <row r="46" spans="1:4">
      <c r="A46" t="s">
        <v>3423</v>
      </c>
      <c r="B46" t="s">
        <v>3374</v>
      </c>
      <c r="D46" t="s">
        <v>31</v>
      </c>
    </row>
    <row r="47" spans="1:4">
      <c r="A47" t="s">
        <v>3424</v>
      </c>
      <c r="D47" t="s">
        <v>36</v>
      </c>
    </row>
    <row r="48" spans="1:4">
      <c r="A48" t="s">
        <v>3425</v>
      </c>
      <c r="B48" t="s">
        <v>3374</v>
      </c>
      <c r="D48" t="s">
        <v>79</v>
      </c>
    </row>
    <row r="49" spans="1:4">
      <c r="A49" t="s">
        <v>3426</v>
      </c>
      <c r="B49" t="s">
        <v>3427</v>
      </c>
      <c r="D49" t="s">
        <v>79</v>
      </c>
    </row>
    <row r="50" spans="1:4">
      <c r="A50" t="s">
        <v>3426</v>
      </c>
      <c r="B50" t="s">
        <v>3428</v>
      </c>
      <c r="D50" t="s">
        <v>79</v>
      </c>
    </row>
    <row r="51" spans="1:4">
      <c r="A51" t="s">
        <v>3429</v>
      </c>
      <c r="B51" t="s">
        <v>3374</v>
      </c>
      <c r="D51" t="s">
        <v>32</v>
      </c>
    </row>
    <row r="52" spans="1:4">
      <c r="A52" t="s">
        <v>3430</v>
      </c>
      <c r="B52" t="s">
        <v>3431</v>
      </c>
      <c r="D52" t="s">
        <v>30</v>
      </c>
    </row>
    <row r="53" spans="1:4">
      <c r="A53" t="s">
        <v>3432</v>
      </c>
      <c r="B53" t="s">
        <v>3374</v>
      </c>
      <c r="D53" t="s">
        <v>66</v>
      </c>
    </row>
    <row r="54" spans="1:4">
      <c r="A54" t="s">
        <v>3433</v>
      </c>
      <c r="B54" t="s">
        <v>3374</v>
      </c>
      <c r="D54" t="s">
        <v>57</v>
      </c>
    </row>
    <row r="55" spans="1:4">
      <c r="A55" t="s">
        <v>3434</v>
      </c>
      <c r="D55" t="s">
        <v>48</v>
      </c>
    </row>
    <row r="56" spans="1:4">
      <c r="A56" t="s">
        <v>3435</v>
      </c>
      <c r="B56" t="s">
        <v>3374</v>
      </c>
      <c r="D56" t="s">
        <v>57</v>
      </c>
    </row>
    <row r="57" spans="1:4">
      <c r="A57" t="s">
        <v>3436</v>
      </c>
      <c r="B57" t="s">
        <v>3374</v>
      </c>
      <c r="D57" t="s">
        <v>399</v>
      </c>
    </row>
    <row r="58" spans="1:4">
      <c r="A58" t="s">
        <v>3437</v>
      </c>
      <c r="B58" t="s">
        <v>3374</v>
      </c>
      <c r="D58" t="s">
        <v>54</v>
      </c>
    </row>
    <row r="59" spans="1:4">
      <c r="A59" t="s">
        <v>3438</v>
      </c>
      <c r="B59" t="s">
        <v>3374</v>
      </c>
      <c r="D59" t="s">
        <v>65</v>
      </c>
    </row>
    <row r="60" spans="1:4">
      <c r="A60" t="s">
        <v>3439</v>
      </c>
      <c r="B60" t="s">
        <v>3374</v>
      </c>
      <c r="D60" t="s">
        <v>66</v>
      </c>
    </row>
    <row r="61" spans="1:4">
      <c r="A61" t="s">
        <v>3440</v>
      </c>
      <c r="B61" t="s">
        <v>3374</v>
      </c>
      <c r="D61" t="s">
        <v>54</v>
      </c>
    </row>
    <row r="62" spans="1:4">
      <c r="A62" t="s">
        <v>3441</v>
      </c>
      <c r="D62" t="s">
        <v>72</v>
      </c>
    </row>
    <row r="63" spans="1:4">
      <c r="A63" t="s">
        <v>3442</v>
      </c>
      <c r="B63" t="s">
        <v>3443</v>
      </c>
      <c r="D63" t="s">
        <v>60</v>
      </c>
    </row>
    <row r="64" spans="1:4">
      <c r="A64" t="s">
        <v>3444</v>
      </c>
      <c r="B64" t="s">
        <v>3374</v>
      </c>
      <c r="D64" t="s">
        <v>35</v>
      </c>
    </row>
    <row r="65" spans="1:4">
      <c r="A65" t="s">
        <v>3445</v>
      </c>
      <c r="B65" t="s">
        <v>3374</v>
      </c>
      <c r="D65" t="s">
        <v>47</v>
      </c>
    </row>
    <row r="66" spans="1:4">
      <c r="A66" t="s">
        <v>3446</v>
      </c>
      <c r="B66" t="s">
        <v>3374</v>
      </c>
      <c r="D66" t="s">
        <v>58</v>
      </c>
    </row>
    <row r="67" spans="1:4">
      <c r="A67" t="s">
        <v>3447</v>
      </c>
      <c r="B67" t="s">
        <v>3374</v>
      </c>
      <c r="D67" t="s">
        <v>72</v>
      </c>
    </row>
    <row r="68" spans="1:4">
      <c r="A68" t="s">
        <v>3448</v>
      </c>
      <c r="D68" t="s">
        <v>72</v>
      </c>
    </row>
    <row r="69" spans="1:4">
      <c r="A69" t="s">
        <v>3449</v>
      </c>
      <c r="B69" t="s">
        <v>3374</v>
      </c>
      <c r="D69" t="s">
        <v>72</v>
      </c>
    </row>
    <row r="70" spans="1:4">
      <c r="A70" t="s">
        <v>3450</v>
      </c>
      <c r="D70" t="s">
        <v>59</v>
      </c>
    </row>
    <row r="71" spans="1:4">
      <c r="A71" t="s">
        <v>3451</v>
      </c>
      <c r="D71" t="s">
        <v>59</v>
      </c>
    </row>
    <row r="72" spans="1:4">
      <c r="A72" t="s">
        <v>3452</v>
      </c>
      <c r="D72" t="s">
        <v>31</v>
      </c>
    </row>
    <row r="73" spans="1:4">
      <c r="A73" t="s">
        <v>3453</v>
      </c>
      <c r="D73" t="s">
        <v>54</v>
      </c>
    </row>
    <row r="74" spans="1:4">
      <c r="A74" t="s">
        <v>3454</v>
      </c>
      <c r="D74" t="s">
        <v>55</v>
      </c>
    </row>
    <row r="75" spans="1:4">
      <c r="A75" t="s">
        <v>3455</v>
      </c>
      <c r="D75" t="s">
        <v>54</v>
      </c>
    </row>
    <row r="76" spans="1:4">
      <c r="A76" t="s">
        <v>3456</v>
      </c>
      <c r="D76" t="s">
        <v>54</v>
      </c>
    </row>
    <row r="77" spans="1:4">
      <c r="A77" t="s">
        <v>3457</v>
      </c>
      <c r="D77" t="s">
        <v>41</v>
      </c>
    </row>
    <row r="78" spans="1:4">
      <c r="A78" t="s">
        <v>3458</v>
      </c>
      <c r="B78" t="s">
        <v>3459</v>
      </c>
      <c r="D78" t="s">
        <v>72</v>
      </c>
    </row>
    <row r="79" spans="1:4">
      <c r="A79" t="s">
        <v>3460</v>
      </c>
      <c r="D79" t="s">
        <v>32</v>
      </c>
    </row>
    <row r="80" spans="1:4">
      <c r="A80" t="s">
        <v>3461</v>
      </c>
      <c r="B80" t="s">
        <v>3462</v>
      </c>
      <c r="D80" t="s">
        <v>72</v>
      </c>
    </row>
    <row r="81" spans="1:4">
      <c r="A81" t="s">
        <v>3463</v>
      </c>
      <c r="B81" t="s">
        <v>3464</v>
      </c>
      <c r="D81" t="s">
        <v>72</v>
      </c>
    </row>
    <row r="82" spans="1:4">
      <c r="A82" t="s">
        <v>3465</v>
      </c>
      <c r="B82" t="s">
        <v>3466</v>
      </c>
      <c r="D82" t="s">
        <v>72</v>
      </c>
    </row>
    <row r="83" spans="1:4">
      <c r="A83" t="s">
        <v>3467</v>
      </c>
      <c r="B83" t="s">
        <v>3468</v>
      </c>
      <c r="D83" t="s">
        <v>72</v>
      </c>
    </row>
    <row r="84" spans="1:4">
      <c r="A84" t="s">
        <v>3469</v>
      </c>
      <c r="B84" t="s">
        <v>3470</v>
      </c>
      <c r="D84" t="s">
        <v>72</v>
      </c>
    </row>
    <row r="85" spans="1:4">
      <c r="A85" t="s">
        <v>3471</v>
      </c>
      <c r="B85" t="s">
        <v>3472</v>
      </c>
      <c r="D85" t="s">
        <v>72</v>
      </c>
    </row>
    <row r="86" spans="1:4">
      <c r="A86" t="s">
        <v>3473</v>
      </c>
      <c r="B86" t="s">
        <v>3474</v>
      </c>
      <c r="D86" t="s">
        <v>72</v>
      </c>
    </row>
    <row r="87" spans="1:4">
      <c r="A87" t="s">
        <v>3475</v>
      </c>
      <c r="B87" t="s">
        <v>3476</v>
      </c>
      <c r="D87" t="s">
        <v>72</v>
      </c>
    </row>
    <row r="88" spans="1:4">
      <c r="A88" t="s">
        <v>3477</v>
      </c>
      <c r="B88" t="s">
        <v>3478</v>
      </c>
      <c r="D88" t="s">
        <v>72</v>
      </c>
    </row>
    <row r="89" spans="1:4">
      <c r="A89" t="s">
        <v>3479</v>
      </c>
      <c r="B89" t="s">
        <v>3480</v>
      </c>
      <c r="D89" t="s">
        <v>72</v>
      </c>
    </row>
    <row r="90" spans="1:4">
      <c r="A90" t="s">
        <v>3481</v>
      </c>
      <c r="D90" t="s">
        <v>72</v>
      </c>
    </row>
    <row r="91" spans="1:4">
      <c r="A91" t="s">
        <v>3482</v>
      </c>
      <c r="B91" t="s">
        <v>3483</v>
      </c>
      <c r="D91" t="s">
        <v>72</v>
      </c>
    </row>
    <row r="92" spans="1:4">
      <c r="A92" t="s">
        <v>3484</v>
      </c>
      <c r="B92" t="s">
        <v>3485</v>
      </c>
      <c r="D92" t="s">
        <v>72</v>
      </c>
    </row>
    <row r="93" spans="1:4">
      <c r="A93" t="s">
        <v>3486</v>
      </c>
      <c r="B93" t="s">
        <v>3487</v>
      </c>
      <c r="D93" t="s">
        <v>72</v>
      </c>
    </row>
    <row r="94" spans="1:4">
      <c r="A94" t="s">
        <v>3488</v>
      </c>
      <c r="B94" t="s">
        <v>3489</v>
      </c>
      <c r="D94" t="s">
        <v>72</v>
      </c>
    </row>
    <row r="95" spans="1:4">
      <c r="A95" t="s">
        <v>3490</v>
      </c>
      <c r="B95" t="s">
        <v>3491</v>
      </c>
      <c r="D95" t="s">
        <v>72</v>
      </c>
    </row>
    <row r="96" spans="1:4">
      <c r="A96" t="s">
        <v>3492</v>
      </c>
      <c r="B96" t="s">
        <v>3493</v>
      </c>
      <c r="D96" t="s">
        <v>72</v>
      </c>
    </row>
    <row r="97" spans="1:4">
      <c r="A97" t="s">
        <v>3494</v>
      </c>
      <c r="B97" t="s">
        <v>3495</v>
      </c>
      <c r="D97" t="s">
        <v>72</v>
      </c>
    </row>
    <row r="98" spans="1:4">
      <c r="A98" t="s">
        <v>3496</v>
      </c>
      <c r="B98" t="s">
        <v>3497</v>
      </c>
      <c r="D98" t="s">
        <v>72</v>
      </c>
    </row>
    <row r="99" spans="1:4">
      <c r="A99" t="s">
        <v>3498</v>
      </c>
      <c r="B99" t="s">
        <v>3499</v>
      </c>
      <c r="D99" t="s">
        <v>72</v>
      </c>
    </row>
    <row r="100" spans="1:4">
      <c r="A100" t="s">
        <v>3498</v>
      </c>
      <c r="B100" t="s">
        <v>3500</v>
      </c>
      <c r="D100" t="s">
        <v>72</v>
      </c>
    </row>
    <row r="101" spans="1:4">
      <c r="A101" t="s">
        <v>3501</v>
      </c>
      <c r="B101" t="s">
        <v>3502</v>
      </c>
      <c r="D101" t="s">
        <v>54</v>
      </c>
    </row>
    <row r="102" spans="1:4">
      <c r="A102" t="s">
        <v>3503</v>
      </c>
      <c r="B102" t="s">
        <v>3504</v>
      </c>
      <c r="D102" t="s">
        <v>72</v>
      </c>
    </row>
    <row r="103" spans="1:4">
      <c r="A103" t="s">
        <v>3505</v>
      </c>
      <c r="B103" t="s">
        <v>3506</v>
      </c>
      <c r="D103" t="s">
        <v>72</v>
      </c>
    </row>
    <row r="104" spans="1:4">
      <c r="A104" t="s">
        <v>3505</v>
      </c>
      <c r="B104" t="s">
        <v>3507</v>
      </c>
      <c r="D104" t="s">
        <v>72</v>
      </c>
    </row>
    <row r="105" spans="1:4">
      <c r="A105" t="s">
        <v>3508</v>
      </c>
      <c r="B105" t="s">
        <v>3509</v>
      </c>
      <c r="D105" t="s">
        <v>72</v>
      </c>
    </row>
    <row r="106" spans="1:4">
      <c r="A106" t="s">
        <v>3508</v>
      </c>
      <c r="B106" t="s">
        <v>3510</v>
      </c>
      <c r="D106" t="s">
        <v>72</v>
      </c>
    </row>
    <row r="107" spans="1:4">
      <c r="A107" t="s">
        <v>3511</v>
      </c>
      <c r="B107" t="s">
        <v>3512</v>
      </c>
      <c r="D107" t="s">
        <v>72</v>
      </c>
    </row>
    <row r="108" spans="1:4">
      <c r="A108" t="s">
        <v>3513</v>
      </c>
      <c r="B108" t="s">
        <v>3514</v>
      </c>
      <c r="D108" t="s">
        <v>72</v>
      </c>
    </row>
    <row r="109" spans="1:4">
      <c r="A109" t="s">
        <v>3515</v>
      </c>
      <c r="B109" t="s">
        <v>3516</v>
      </c>
      <c r="D109" t="s">
        <v>72</v>
      </c>
    </row>
    <row r="110" spans="1:4">
      <c r="A110" t="s">
        <v>3517</v>
      </c>
      <c r="D110" t="s">
        <v>72</v>
      </c>
    </row>
    <row r="111" spans="1:4">
      <c r="A111" t="s">
        <v>3518</v>
      </c>
      <c r="D111" t="s">
        <v>72</v>
      </c>
    </row>
    <row r="112" spans="1:4">
      <c r="A112" t="s">
        <v>3519</v>
      </c>
      <c r="D112" t="s">
        <v>72</v>
      </c>
    </row>
    <row r="113" spans="1:4">
      <c r="A113" t="s">
        <v>3520</v>
      </c>
      <c r="B113" t="s">
        <v>3521</v>
      </c>
      <c r="D113" t="s">
        <v>72</v>
      </c>
    </row>
    <row r="114" spans="1:4">
      <c r="A114" t="s">
        <v>3522</v>
      </c>
      <c r="D114" t="s">
        <v>72</v>
      </c>
    </row>
    <row r="115" spans="1:4">
      <c r="A115" t="s">
        <v>3523</v>
      </c>
      <c r="B115" t="s">
        <v>3524</v>
      </c>
      <c r="D115" t="s">
        <v>72</v>
      </c>
    </row>
    <row r="116" spans="1:4">
      <c r="A116" t="s">
        <v>3523</v>
      </c>
      <c r="B116" t="s">
        <v>3525</v>
      </c>
      <c r="D116" t="s">
        <v>72</v>
      </c>
    </row>
    <row r="117" spans="1:4">
      <c r="A117" t="s">
        <v>3526</v>
      </c>
      <c r="B117" t="s">
        <v>3527</v>
      </c>
      <c r="D117" t="s">
        <v>72</v>
      </c>
    </row>
    <row r="118" spans="1:4">
      <c r="A118" t="s">
        <v>3528</v>
      </c>
      <c r="D118" t="s">
        <v>72</v>
      </c>
    </row>
    <row r="119" spans="1:4">
      <c r="A119" t="s">
        <v>3529</v>
      </c>
      <c r="D119" t="s">
        <v>72</v>
      </c>
    </row>
    <row r="120" spans="1:4">
      <c r="A120" t="s">
        <v>3530</v>
      </c>
      <c r="D120" t="s">
        <v>72</v>
      </c>
    </row>
    <row r="121" spans="1:4">
      <c r="A121" t="s">
        <v>3531</v>
      </c>
      <c r="D121" t="s">
        <v>72</v>
      </c>
    </row>
    <row r="122" spans="1:4">
      <c r="A122" t="s">
        <v>3532</v>
      </c>
      <c r="D122" t="s">
        <v>72</v>
      </c>
    </row>
    <row r="123" spans="1:4">
      <c r="A123" t="s">
        <v>3533</v>
      </c>
      <c r="D123" t="s">
        <v>72</v>
      </c>
    </row>
    <row r="124" spans="1:4">
      <c r="A124" t="s">
        <v>3534</v>
      </c>
      <c r="D124" t="s">
        <v>72</v>
      </c>
    </row>
    <row r="125" spans="1:4">
      <c r="A125" t="s">
        <v>3535</v>
      </c>
      <c r="D125" t="s">
        <v>72</v>
      </c>
    </row>
    <row r="126" spans="1:4">
      <c r="A126" t="s">
        <v>3463</v>
      </c>
      <c r="B126" t="s">
        <v>3536</v>
      </c>
      <c r="D126" t="s">
        <v>72</v>
      </c>
    </row>
    <row r="127" spans="1:4">
      <c r="A127" t="s">
        <v>3537</v>
      </c>
      <c r="D127" t="s">
        <v>72</v>
      </c>
    </row>
    <row r="128" spans="1:4">
      <c r="A128" t="s">
        <v>3538</v>
      </c>
      <c r="D128" t="s">
        <v>56</v>
      </c>
    </row>
    <row r="129" spans="1:4">
      <c r="A129" t="s">
        <v>3539</v>
      </c>
      <c r="D129" t="s">
        <v>72</v>
      </c>
    </row>
    <row r="130" spans="1:4">
      <c r="A130" t="s">
        <v>3540</v>
      </c>
      <c r="D130" t="s">
        <v>72</v>
      </c>
    </row>
    <row r="131" spans="1:4">
      <c r="A131" t="s">
        <v>3541</v>
      </c>
      <c r="D131" t="s">
        <v>72</v>
      </c>
    </row>
    <row r="132" spans="1:4">
      <c r="A132" t="s">
        <v>3542</v>
      </c>
      <c r="D132" t="s">
        <v>72</v>
      </c>
    </row>
    <row r="133" spans="1:4">
      <c r="A133" t="s">
        <v>3543</v>
      </c>
      <c r="D133" t="s">
        <v>65</v>
      </c>
    </row>
    <row r="134" spans="1:4">
      <c r="A134" t="s">
        <v>3544</v>
      </c>
      <c r="D134" t="s">
        <v>72</v>
      </c>
    </row>
    <row r="135" spans="1:4">
      <c r="A135" t="s">
        <v>3545</v>
      </c>
      <c r="D135" t="s">
        <v>72</v>
      </c>
    </row>
    <row r="136" spans="1:4">
      <c r="A136" t="s">
        <v>3546</v>
      </c>
      <c r="D136" t="s">
        <v>72</v>
      </c>
    </row>
    <row r="137" spans="1:4">
      <c r="A137" t="s">
        <v>3547</v>
      </c>
      <c r="B137" t="s">
        <v>3548</v>
      </c>
      <c r="D137" t="s">
        <v>72</v>
      </c>
    </row>
    <row r="138" spans="1:4">
      <c r="A138" t="s">
        <v>3549</v>
      </c>
      <c r="D138" t="s">
        <v>72</v>
      </c>
    </row>
    <row r="139" spans="1:4">
      <c r="A139" t="s">
        <v>3550</v>
      </c>
      <c r="D139" t="s">
        <v>72</v>
      </c>
    </row>
    <row r="140" spans="1:4">
      <c r="A140" t="s">
        <v>3551</v>
      </c>
      <c r="D140" t="s">
        <v>72</v>
      </c>
    </row>
    <row r="141" spans="1:4">
      <c r="A141" t="s">
        <v>3552</v>
      </c>
      <c r="D141" t="s">
        <v>72</v>
      </c>
    </row>
    <row r="142" spans="1:4">
      <c r="A142" t="s">
        <v>3553</v>
      </c>
      <c r="D142" t="s">
        <v>72</v>
      </c>
    </row>
    <row r="143" spans="1:4">
      <c r="A143" t="s">
        <v>3554</v>
      </c>
      <c r="D143" t="s">
        <v>72</v>
      </c>
    </row>
    <row r="144" spans="1:4">
      <c r="A144" t="s">
        <v>3555</v>
      </c>
      <c r="D144" t="s">
        <v>72</v>
      </c>
    </row>
    <row r="145" spans="1:4">
      <c r="A145" t="s">
        <v>3556</v>
      </c>
      <c r="D145" t="s">
        <v>72</v>
      </c>
    </row>
    <row r="146" spans="1:4">
      <c r="A146" t="s">
        <v>3557</v>
      </c>
      <c r="D146" t="s">
        <v>72</v>
      </c>
    </row>
    <row r="147" spans="1:4">
      <c r="A147" t="s">
        <v>3558</v>
      </c>
      <c r="D147" t="s">
        <v>72</v>
      </c>
    </row>
    <row r="148" spans="1:4">
      <c r="A148" t="s">
        <v>3559</v>
      </c>
      <c r="D148" t="s">
        <v>72</v>
      </c>
    </row>
    <row r="149" spans="1:4">
      <c r="A149" t="s">
        <v>3560</v>
      </c>
      <c r="D149" t="s">
        <v>72</v>
      </c>
    </row>
    <row r="150" spans="1:4">
      <c r="A150" t="s">
        <v>3561</v>
      </c>
      <c r="D150" t="s">
        <v>72</v>
      </c>
    </row>
    <row r="151" spans="1:4">
      <c r="A151" t="s">
        <v>3562</v>
      </c>
      <c r="D151" t="s">
        <v>72</v>
      </c>
    </row>
    <row r="152" spans="1:4">
      <c r="A152" t="s">
        <v>3563</v>
      </c>
      <c r="D152" t="s">
        <v>72</v>
      </c>
    </row>
    <row r="153" spans="1:4">
      <c r="A153" t="s">
        <v>3564</v>
      </c>
      <c r="D153" t="s">
        <v>72</v>
      </c>
    </row>
    <row r="154" spans="1:4">
      <c r="A154" t="s">
        <v>3565</v>
      </c>
      <c r="D154" t="s">
        <v>72</v>
      </c>
    </row>
    <row r="155" spans="1:4">
      <c r="A155" t="s">
        <v>3566</v>
      </c>
      <c r="D155" t="s">
        <v>72</v>
      </c>
    </row>
    <row r="156" spans="1:4">
      <c r="A156" t="s">
        <v>3567</v>
      </c>
      <c r="D156" t="s">
        <v>72</v>
      </c>
    </row>
    <row r="157" spans="1:4">
      <c r="A157" t="s">
        <v>3568</v>
      </c>
      <c r="D157" t="s">
        <v>72</v>
      </c>
    </row>
    <row r="158" spans="1:4">
      <c r="A158" t="s">
        <v>3569</v>
      </c>
      <c r="D158" t="s">
        <v>72</v>
      </c>
    </row>
    <row r="159" spans="1:4">
      <c r="A159" t="s">
        <v>3570</v>
      </c>
      <c r="D159" t="s">
        <v>72</v>
      </c>
    </row>
    <row r="160" spans="1:4">
      <c r="A160" t="s">
        <v>3571</v>
      </c>
      <c r="D160" t="s">
        <v>72</v>
      </c>
    </row>
    <row r="161" spans="1:4">
      <c r="A161" t="s">
        <v>3572</v>
      </c>
      <c r="D161" t="s">
        <v>72</v>
      </c>
    </row>
    <row r="162" spans="1:4">
      <c r="A162" t="s">
        <v>3573</v>
      </c>
      <c r="D162" t="s">
        <v>72</v>
      </c>
    </row>
    <row r="163" spans="1:4">
      <c r="A163" t="s">
        <v>3574</v>
      </c>
      <c r="D163" t="s">
        <v>72</v>
      </c>
    </row>
    <row r="164" spans="1:4">
      <c r="A164" t="s">
        <v>3575</v>
      </c>
      <c r="D164" t="s">
        <v>72</v>
      </c>
    </row>
    <row r="165" spans="1:4">
      <c r="A165" t="s">
        <v>3576</v>
      </c>
      <c r="D165" t="s">
        <v>72</v>
      </c>
    </row>
    <row r="166" spans="1:4">
      <c r="A166" t="s">
        <v>3577</v>
      </c>
      <c r="D166" t="s">
        <v>72</v>
      </c>
    </row>
    <row r="167" spans="1:4">
      <c r="A167" t="s">
        <v>3578</v>
      </c>
      <c r="D167" t="s">
        <v>72</v>
      </c>
    </row>
    <row r="168" spans="1:4">
      <c r="A168" t="s">
        <v>3579</v>
      </c>
      <c r="D168" t="s">
        <v>72</v>
      </c>
    </row>
    <row r="169" spans="1:4">
      <c r="A169" t="s">
        <v>3580</v>
      </c>
      <c r="D169" t="s">
        <v>72</v>
      </c>
    </row>
    <row r="170" spans="1:4">
      <c r="A170" t="s">
        <v>3581</v>
      </c>
      <c r="D170" t="s">
        <v>72</v>
      </c>
    </row>
    <row r="171" spans="1:4">
      <c r="A171" t="s">
        <v>3582</v>
      </c>
      <c r="D171" t="s">
        <v>72</v>
      </c>
    </row>
    <row r="172" spans="1:4">
      <c r="A172" t="s">
        <v>3583</v>
      </c>
      <c r="D172" t="s">
        <v>72</v>
      </c>
    </row>
    <row r="173" spans="1:4">
      <c r="A173" t="s">
        <v>3584</v>
      </c>
      <c r="D173" t="s">
        <v>72</v>
      </c>
    </row>
    <row r="174" spans="1:4">
      <c r="A174" t="s">
        <v>3585</v>
      </c>
      <c r="D174" t="s">
        <v>72</v>
      </c>
    </row>
    <row r="175" spans="1:4">
      <c r="A175" t="s">
        <v>3586</v>
      </c>
      <c r="D175" t="s">
        <v>72</v>
      </c>
    </row>
    <row r="176" spans="1:4">
      <c r="A176" t="s">
        <v>3587</v>
      </c>
      <c r="D176" t="s">
        <v>72</v>
      </c>
    </row>
    <row r="177" spans="1:4">
      <c r="A177" t="s">
        <v>3588</v>
      </c>
      <c r="D177" t="s">
        <v>72</v>
      </c>
    </row>
    <row r="178" spans="1:4">
      <c r="A178" t="s">
        <v>3589</v>
      </c>
      <c r="D178" t="s">
        <v>72</v>
      </c>
    </row>
    <row r="179" spans="1:4">
      <c r="A179" t="s">
        <v>3590</v>
      </c>
      <c r="D179" t="s">
        <v>72</v>
      </c>
    </row>
    <row r="180" spans="1:4">
      <c r="A180" t="s">
        <v>3591</v>
      </c>
      <c r="D180" t="s">
        <v>72</v>
      </c>
    </row>
    <row r="181" spans="1:4">
      <c r="A181" t="s">
        <v>3592</v>
      </c>
      <c r="D181" t="s">
        <v>72</v>
      </c>
    </row>
    <row r="182" spans="1:4">
      <c r="A182" t="s">
        <v>3593</v>
      </c>
      <c r="D182" t="s">
        <v>72</v>
      </c>
    </row>
    <row r="183" spans="1:4">
      <c r="A183" t="s">
        <v>3594</v>
      </c>
      <c r="D183" t="s">
        <v>72</v>
      </c>
    </row>
    <row r="184" spans="1:4">
      <c r="A184" t="s">
        <v>3595</v>
      </c>
      <c r="D184" t="s">
        <v>72</v>
      </c>
    </row>
    <row r="185" spans="1:4">
      <c r="A185" t="s">
        <v>3596</v>
      </c>
      <c r="D185" t="s">
        <v>72</v>
      </c>
    </row>
    <row r="186" spans="1:4">
      <c r="A186" t="s">
        <v>3597</v>
      </c>
      <c r="D186" t="s">
        <v>72</v>
      </c>
    </row>
    <row r="187" spans="1:4">
      <c r="A187" t="s">
        <v>3598</v>
      </c>
      <c r="D187" t="s">
        <v>72</v>
      </c>
    </row>
    <row r="188" spans="1:4">
      <c r="A188" t="s">
        <v>3599</v>
      </c>
      <c r="D188" t="s">
        <v>72</v>
      </c>
    </row>
    <row r="189" spans="1:4">
      <c r="A189" t="s">
        <v>3600</v>
      </c>
      <c r="D189" t="s">
        <v>72</v>
      </c>
    </row>
    <row r="190" spans="1:4">
      <c r="A190" t="s">
        <v>3601</v>
      </c>
      <c r="B190" t="s">
        <v>3602</v>
      </c>
      <c r="D190" t="s">
        <v>72</v>
      </c>
    </row>
    <row r="191" spans="1:4">
      <c r="A191" t="s">
        <v>3603</v>
      </c>
      <c r="B191" t="s">
        <v>3604</v>
      </c>
      <c r="D191" t="s">
        <v>72</v>
      </c>
    </row>
    <row r="192" spans="1:4">
      <c r="A192" t="s">
        <v>3605</v>
      </c>
      <c r="B192" t="s">
        <v>3604</v>
      </c>
      <c r="D192" t="s">
        <v>72</v>
      </c>
    </row>
    <row r="193" spans="1:4">
      <c r="A193" t="s">
        <v>3606</v>
      </c>
      <c r="D193" t="s">
        <v>72</v>
      </c>
    </row>
    <row r="194" spans="1:4">
      <c r="A194" t="s">
        <v>3607</v>
      </c>
      <c r="D194" t="s">
        <v>72</v>
      </c>
    </row>
    <row r="195" spans="1:4">
      <c r="A195" t="s">
        <v>3608</v>
      </c>
      <c r="D195" t="s">
        <v>72</v>
      </c>
    </row>
    <row r="196" spans="1:4">
      <c r="A196" t="s">
        <v>3609</v>
      </c>
      <c r="D196" t="s">
        <v>72</v>
      </c>
    </row>
    <row r="197" spans="1:4">
      <c r="A197" t="s">
        <v>3610</v>
      </c>
      <c r="D197" t="s">
        <v>72</v>
      </c>
    </row>
    <row r="198" spans="1:4">
      <c r="A198" t="s">
        <v>3611</v>
      </c>
      <c r="D198" t="s">
        <v>72</v>
      </c>
    </row>
    <row r="199" spans="1:4">
      <c r="A199" t="s">
        <v>3612</v>
      </c>
      <c r="D199" t="s">
        <v>72</v>
      </c>
    </row>
    <row r="200" spans="1:4">
      <c r="A200" t="s">
        <v>3613</v>
      </c>
      <c r="D200" t="s">
        <v>54</v>
      </c>
    </row>
    <row r="201" spans="1:4">
      <c r="A201" t="s">
        <v>3614</v>
      </c>
      <c r="D201" t="s">
        <v>72</v>
      </c>
    </row>
    <row r="202" spans="1:4">
      <c r="A202" t="s">
        <v>3615</v>
      </c>
      <c r="D202" t="s">
        <v>72</v>
      </c>
    </row>
    <row r="203" spans="1:4">
      <c r="A203" t="s">
        <v>3616</v>
      </c>
      <c r="D203" t="s">
        <v>72</v>
      </c>
    </row>
    <row r="204" spans="1:4">
      <c r="A204" t="s">
        <v>3617</v>
      </c>
      <c r="D204" t="s">
        <v>72</v>
      </c>
    </row>
    <row r="205" spans="1:4">
      <c r="A205" t="s">
        <v>3618</v>
      </c>
      <c r="D205" t="s">
        <v>72</v>
      </c>
    </row>
    <row r="206" spans="1:4">
      <c r="A206" t="s">
        <v>3619</v>
      </c>
      <c r="D206" t="s">
        <v>72</v>
      </c>
    </row>
    <row r="207" spans="1:4">
      <c r="A207" t="s">
        <v>3620</v>
      </c>
      <c r="D207" t="s">
        <v>72</v>
      </c>
    </row>
    <row r="208" spans="1:4">
      <c r="A208" t="s">
        <v>3621</v>
      </c>
      <c r="D208" t="s">
        <v>72</v>
      </c>
    </row>
    <row r="209" spans="1:4">
      <c r="A209" t="s">
        <v>3622</v>
      </c>
      <c r="D209" t="s">
        <v>72</v>
      </c>
    </row>
    <row r="210" spans="1:4">
      <c r="A210" t="s">
        <v>3623</v>
      </c>
      <c r="D210" t="s">
        <v>72</v>
      </c>
    </row>
    <row r="211" spans="1:4">
      <c r="A211" t="s">
        <v>3624</v>
      </c>
      <c r="D211" t="s">
        <v>72</v>
      </c>
    </row>
    <row r="212" spans="1:4">
      <c r="A212" t="s">
        <v>3625</v>
      </c>
      <c r="D212" t="s">
        <v>72</v>
      </c>
    </row>
    <row r="213" spans="1:4">
      <c r="A213" t="s">
        <v>3626</v>
      </c>
      <c r="D213" t="s">
        <v>72</v>
      </c>
    </row>
    <row r="214" spans="1:4">
      <c r="A214" t="s">
        <v>3627</v>
      </c>
      <c r="D214" t="s">
        <v>72</v>
      </c>
    </row>
    <row r="215" spans="1:4">
      <c r="A215" t="s">
        <v>3628</v>
      </c>
      <c r="D215" t="s">
        <v>72</v>
      </c>
    </row>
    <row r="216" spans="1:4">
      <c r="A216" t="s">
        <v>3629</v>
      </c>
      <c r="D216" t="s">
        <v>72</v>
      </c>
    </row>
    <row r="217" spans="1:4">
      <c r="A217" t="s">
        <v>3630</v>
      </c>
      <c r="D217" t="s">
        <v>72</v>
      </c>
    </row>
    <row r="218" spans="1:4">
      <c r="A218" t="s">
        <v>3631</v>
      </c>
      <c r="D218" t="s">
        <v>72</v>
      </c>
    </row>
    <row r="219" spans="1:4">
      <c r="A219" t="s">
        <v>3632</v>
      </c>
      <c r="D219" t="s">
        <v>72</v>
      </c>
    </row>
    <row r="220" spans="1:4">
      <c r="A220" t="s">
        <v>3633</v>
      </c>
      <c r="D220" t="s">
        <v>72</v>
      </c>
    </row>
    <row r="221" spans="1:4">
      <c r="A221" t="s">
        <v>3634</v>
      </c>
      <c r="D221" t="s">
        <v>72</v>
      </c>
    </row>
    <row r="222" spans="1:4">
      <c r="A222" t="s">
        <v>3635</v>
      </c>
      <c r="D222" t="s">
        <v>54</v>
      </c>
    </row>
    <row r="223" spans="1:4">
      <c r="A223" t="s">
        <v>3636</v>
      </c>
      <c r="D223" t="s">
        <v>72</v>
      </c>
    </row>
    <row r="224" spans="1:4">
      <c r="A224" t="s">
        <v>3637</v>
      </c>
      <c r="D224" t="s">
        <v>72</v>
      </c>
    </row>
    <row r="225" spans="1:4">
      <c r="A225" t="s">
        <v>3638</v>
      </c>
      <c r="D225" t="s">
        <v>72</v>
      </c>
    </row>
    <row r="226" spans="1:4">
      <c r="A226" t="s">
        <v>3639</v>
      </c>
      <c r="D226" t="s">
        <v>72</v>
      </c>
    </row>
    <row r="227" spans="1:4">
      <c r="A227" t="s">
        <v>3640</v>
      </c>
      <c r="D227" t="s">
        <v>72</v>
      </c>
    </row>
    <row r="228" spans="1:4">
      <c r="A228" t="s">
        <v>3641</v>
      </c>
      <c r="D228" t="s">
        <v>72</v>
      </c>
    </row>
    <row r="229" spans="1:4">
      <c r="A229" t="s">
        <v>3642</v>
      </c>
      <c r="D229" t="s">
        <v>72</v>
      </c>
    </row>
    <row r="230" spans="1:4">
      <c r="A230" t="s">
        <v>3643</v>
      </c>
      <c r="D230" t="s">
        <v>72</v>
      </c>
    </row>
    <row r="231" spans="1:4">
      <c r="A231" t="s">
        <v>3644</v>
      </c>
      <c r="D231" t="s">
        <v>72</v>
      </c>
    </row>
    <row r="232" spans="1:4">
      <c r="A232" t="s">
        <v>3645</v>
      </c>
      <c r="D232" t="s">
        <v>72</v>
      </c>
    </row>
    <row r="233" spans="1:4">
      <c r="A233" t="s">
        <v>3646</v>
      </c>
      <c r="D233" t="s">
        <v>72</v>
      </c>
    </row>
    <row r="234" spans="1:4">
      <c r="A234" t="s">
        <v>3647</v>
      </c>
      <c r="D234" t="s">
        <v>72</v>
      </c>
    </row>
    <row r="235" spans="1:4">
      <c r="A235" t="s">
        <v>3648</v>
      </c>
      <c r="D235" t="s">
        <v>72</v>
      </c>
    </row>
    <row r="236" spans="1:4">
      <c r="A236" t="s">
        <v>3649</v>
      </c>
      <c r="D236" t="s">
        <v>72</v>
      </c>
    </row>
    <row r="237" spans="1:4">
      <c r="A237" t="s">
        <v>3650</v>
      </c>
      <c r="D237" t="s">
        <v>57</v>
      </c>
    </row>
    <row r="238" spans="1:4">
      <c r="A238" t="s">
        <v>3651</v>
      </c>
      <c r="D238" t="s">
        <v>58</v>
      </c>
    </row>
    <row r="239" spans="1:4">
      <c r="A239" t="s">
        <v>3652</v>
      </c>
      <c r="D239" t="s">
        <v>72</v>
      </c>
    </row>
    <row r="240" spans="1:4">
      <c r="A240" t="s">
        <v>3653</v>
      </c>
      <c r="D240" t="s">
        <v>72</v>
      </c>
    </row>
    <row r="241" spans="1:4">
      <c r="A241" t="s">
        <v>3654</v>
      </c>
      <c r="D241" t="s">
        <v>72</v>
      </c>
    </row>
    <row r="242" spans="1:4">
      <c r="A242" t="s">
        <v>3655</v>
      </c>
      <c r="D242" t="s">
        <v>54</v>
      </c>
    </row>
    <row r="243" spans="1:4">
      <c r="A243" t="s">
        <v>3656</v>
      </c>
      <c r="D243" t="s">
        <v>45</v>
      </c>
    </row>
    <row r="244" spans="1:4">
      <c r="A244" t="s">
        <v>3657</v>
      </c>
      <c r="D244" t="s">
        <v>72</v>
      </c>
    </row>
    <row r="245" spans="1:4">
      <c r="A245" t="s">
        <v>3658</v>
      </c>
      <c r="D245" t="s">
        <v>72</v>
      </c>
    </row>
    <row r="246" spans="1:4">
      <c r="A246" t="s">
        <v>3659</v>
      </c>
      <c r="D246" t="s">
        <v>72</v>
      </c>
    </row>
    <row r="247" spans="1:4">
      <c r="A247" t="s">
        <v>3660</v>
      </c>
      <c r="D247" t="s">
        <v>72</v>
      </c>
    </row>
    <row r="248" spans="1:4">
      <c r="A248" t="s">
        <v>3661</v>
      </c>
      <c r="D248" t="s">
        <v>72</v>
      </c>
    </row>
    <row r="249" spans="1:4">
      <c r="A249" t="s">
        <v>3662</v>
      </c>
      <c r="D249" t="s">
        <v>72</v>
      </c>
    </row>
    <row r="250" spans="1:4">
      <c r="A250" t="s">
        <v>3663</v>
      </c>
      <c r="D250" t="s">
        <v>50</v>
      </c>
    </row>
    <row r="251" spans="1:4">
      <c r="A251" t="s">
        <v>3664</v>
      </c>
      <c r="D251" t="s">
        <v>72</v>
      </c>
    </row>
    <row r="252" spans="1:4">
      <c r="A252" t="s">
        <v>3665</v>
      </c>
      <c r="D252" t="s">
        <v>72</v>
      </c>
    </row>
    <row r="253" spans="1:4">
      <c r="A253" t="s">
        <v>3666</v>
      </c>
      <c r="D253" t="s">
        <v>58</v>
      </c>
    </row>
    <row r="254" spans="1:4">
      <c r="A254" t="s">
        <v>3667</v>
      </c>
      <c r="D254" t="s">
        <v>72</v>
      </c>
    </row>
    <row r="255" spans="1:4">
      <c r="A255" t="s">
        <v>3668</v>
      </c>
      <c r="D255" t="s">
        <v>72</v>
      </c>
    </row>
    <row r="256" spans="1:4">
      <c r="A256" t="s">
        <v>3669</v>
      </c>
      <c r="D256" t="s">
        <v>72</v>
      </c>
    </row>
    <row r="257" spans="1:4">
      <c r="A257" t="s">
        <v>3670</v>
      </c>
      <c r="D257" t="s">
        <v>45</v>
      </c>
    </row>
    <row r="258" spans="1:4">
      <c r="A258" t="s">
        <v>3671</v>
      </c>
      <c r="D258" t="s">
        <v>72</v>
      </c>
    </row>
    <row r="259" spans="1:4">
      <c r="A259" t="s">
        <v>3672</v>
      </c>
      <c r="D259" t="s">
        <v>72</v>
      </c>
    </row>
    <row r="260" spans="1:4">
      <c r="A260" t="s">
        <v>3673</v>
      </c>
      <c r="D260" t="s">
        <v>72</v>
      </c>
    </row>
    <row r="261" spans="1:4">
      <c r="A261" t="s">
        <v>3674</v>
      </c>
      <c r="D261" t="s">
        <v>72</v>
      </c>
    </row>
    <row r="262" spans="1:4">
      <c r="A262" t="s">
        <v>3675</v>
      </c>
      <c r="D262" t="s">
        <v>72</v>
      </c>
    </row>
    <row r="263" spans="1:4">
      <c r="A263" t="s">
        <v>3676</v>
      </c>
      <c r="D263" t="s">
        <v>72</v>
      </c>
    </row>
    <row r="264" spans="1:4">
      <c r="A264" t="s">
        <v>3677</v>
      </c>
      <c r="D264" t="s">
        <v>44</v>
      </c>
    </row>
    <row r="265" spans="1:4">
      <c r="A265" t="s">
        <v>3678</v>
      </c>
      <c r="D265" t="s">
        <v>72</v>
      </c>
    </row>
    <row r="266" spans="1:4">
      <c r="A266" t="s">
        <v>3679</v>
      </c>
      <c r="D266" t="s">
        <v>54</v>
      </c>
    </row>
    <row r="267" spans="1:4">
      <c r="A267" t="s">
        <v>3680</v>
      </c>
      <c r="D267" t="s">
        <v>72</v>
      </c>
    </row>
    <row r="268" spans="1:4">
      <c r="A268" t="s">
        <v>3681</v>
      </c>
      <c r="D268" t="s">
        <v>72</v>
      </c>
    </row>
    <row r="269" spans="1:4">
      <c r="A269" t="s">
        <v>3682</v>
      </c>
      <c r="D269" t="s">
        <v>72</v>
      </c>
    </row>
    <row r="270" spans="1:4">
      <c r="A270" t="s">
        <v>3683</v>
      </c>
      <c r="D270" t="s">
        <v>32</v>
      </c>
    </row>
    <row r="271" spans="1:4">
      <c r="A271" t="s">
        <v>3684</v>
      </c>
      <c r="D271" t="s">
        <v>59</v>
      </c>
    </row>
    <row r="272" spans="1:4">
      <c r="A272" t="s">
        <v>3685</v>
      </c>
      <c r="D272" t="s">
        <v>72</v>
      </c>
    </row>
    <row r="273" spans="1:4">
      <c r="A273" t="s">
        <v>3686</v>
      </c>
      <c r="D273" t="s">
        <v>45</v>
      </c>
    </row>
    <row r="274" spans="1:4">
      <c r="A274" t="s">
        <v>3687</v>
      </c>
      <c r="D274" t="s">
        <v>72</v>
      </c>
    </row>
    <row r="275" spans="1:4">
      <c r="A275" t="s">
        <v>3688</v>
      </c>
      <c r="D275" t="s">
        <v>72</v>
      </c>
    </row>
    <row r="276" spans="1:4">
      <c r="A276" t="s">
        <v>3689</v>
      </c>
      <c r="D276" t="s">
        <v>72</v>
      </c>
    </row>
    <row r="277" spans="1:4">
      <c r="A277" t="s">
        <v>3690</v>
      </c>
      <c r="D277" t="s">
        <v>72</v>
      </c>
    </row>
    <row r="278" spans="1:4">
      <c r="A278" t="s">
        <v>3691</v>
      </c>
      <c r="D278" t="s">
        <v>72</v>
      </c>
    </row>
    <row r="279" spans="1:4">
      <c r="A279" t="s">
        <v>3692</v>
      </c>
      <c r="D279" t="s">
        <v>32</v>
      </c>
    </row>
    <row r="280" spans="1:4">
      <c r="A280" t="s">
        <v>3693</v>
      </c>
      <c r="D280" t="s">
        <v>72</v>
      </c>
    </row>
    <row r="281" spans="1:4">
      <c r="A281" t="s">
        <v>3694</v>
      </c>
      <c r="D281" t="s">
        <v>72</v>
      </c>
    </row>
    <row r="282" spans="1:4">
      <c r="A282" t="s">
        <v>3695</v>
      </c>
      <c r="D282" t="s">
        <v>72</v>
      </c>
    </row>
    <row r="283" spans="1:4">
      <c r="A283" t="s">
        <v>3696</v>
      </c>
      <c r="D283" t="s">
        <v>72</v>
      </c>
    </row>
    <row r="284" spans="1:4">
      <c r="A284" t="s">
        <v>3697</v>
      </c>
      <c r="D284" t="s">
        <v>72</v>
      </c>
    </row>
    <row r="285" spans="1:4">
      <c r="A285" t="s">
        <v>3698</v>
      </c>
      <c r="B285" t="s">
        <v>3699</v>
      </c>
      <c r="D285" t="s">
        <v>72</v>
      </c>
    </row>
    <row r="286" spans="1:4">
      <c r="A286" t="s">
        <v>3700</v>
      </c>
      <c r="B286" t="s">
        <v>3701</v>
      </c>
      <c r="D286" t="s">
        <v>72</v>
      </c>
    </row>
    <row r="287" spans="1:4">
      <c r="A287" t="s">
        <v>3702</v>
      </c>
      <c r="B287" t="s">
        <v>3703</v>
      </c>
      <c r="D287" t="s">
        <v>72</v>
      </c>
    </row>
    <row r="288" spans="1:4">
      <c r="A288" t="s">
        <v>3704</v>
      </c>
      <c r="B288" t="s">
        <v>3705</v>
      </c>
      <c r="D288" t="s">
        <v>72</v>
      </c>
    </row>
    <row r="289" spans="1:4">
      <c r="A289" t="s">
        <v>3706</v>
      </c>
      <c r="B289" t="s">
        <v>3707</v>
      </c>
      <c r="D289" t="s">
        <v>72</v>
      </c>
    </row>
    <row r="290" spans="1:4">
      <c r="A290" t="s">
        <v>3708</v>
      </c>
      <c r="B290" t="s">
        <v>3709</v>
      </c>
      <c r="D290" t="s">
        <v>72</v>
      </c>
    </row>
    <row r="291" spans="1:4">
      <c r="A291" t="s">
        <v>3710</v>
      </c>
      <c r="B291" t="s">
        <v>3711</v>
      </c>
      <c r="D291" t="s">
        <v>72</v>
      </c>
    </row>
    <row r="292" spans="1:4">
      <c r="A292" t="s">
        <v>3712</v>
      </c>
      <c r="B292" t="s">
        <v>3713</v>
      </c>
      <c r="D292" t="s">
        <v>72</v>
      </c>
    </row>
    <row r="293" spans="1:4">
      <c r="A293" t="s">
        <v>3714</v>
      </c>
      <c r="B293" t="s">
        <v>3715</v>
      </c>
      <c r="D293" t="s">
        <v>72</v>
      </c>
    </row>
    <row r="294" spans="1:4">
      <c r="A294" t="s">
        <v>3716</v>
      </c>
      <c r="B294" t="s">
        <v>3717</v>
      </c>
      <c r="D294" t="s">
        <v>72</v>
      </c>
    </row>
    <row r="295" spans="1:4">
      <c r="A295" t="s">
        <v>3718</v>
      </c>
      <c r="B295" t="s">
        <v>3719</v>
      </c>
      <c r="D295" t="s">
        <v>72</v>
      </c>
    </row>
    <row r="296" spans="1:4">
      <c r="A296" t="s">
        <v>3720</v>
      </c>
      <c r="B296" t="s">
        <v>3721</v>
      </c>
      <c r="D296" t="s">
        <v>72</v>
      </c>
    </row>
    <row r="297" spans="1:4">
      <c r="A297" t="s">
        <v>3722</v>
      </c>
      <c r="B297" t="s">
        <v>3723</v>
      </c>
      <c r="D297" t="s">
        <v>72</v>
      </c>
    </row>
    <row r="298" spans="1:4">
      <c r="A298" t="s">
        <v>3724</v>
      </c>
      <c r="D298" t="s">
        <v>72</v>
      </c>
    </row>
    <row r="299" spans="1:4">
      <c r="A299" t="s">
        <v>3725</v>
      </c>
      <c r="D299" t="s">
        <v>72</v>
      </c>
    </row>
    <row r="300" spans="1:4">
      <c r="A300" t="s">
        <v>3726</v>
      </c>
      <c r="B300" t="s">
        <v>3727</v>
      </c>
      <c r="D300" t="s">
        <v>72</v>
      </c>
    </row>
    <row r="301" spans="1:4">
      <c r="A301" t="s">
        <v>3728</v>
      </c>
      <c r="B301" t="s">
        <v>3729</v>
      </c>
      <c r="D301" t="s">
        <v>72</v>
      </c>
    </row>
    <row r="302" spans="1:4">
      <c r="A302" t="s">
        <v>3730</v>
      </c>
      <c r="B302" t="s">
        <v>3731</v>
      </c>
      <c r="D302" t="s">
        <v>72</v>
      </c>
    </row>
    <row r="303" spans="1:4">
      <c r="A303" t="s">
        <v>3732</v>
      </c>
      <c r="D303" t="s">
        <v>72</v>
      </c>
    </row>
    <row r="304" spans="1:4">
      <c r="A304" t="s">
        <v>3733</v>
      </c>
      <c r="B304" t="s">
        <v>3734</v>
      </c>
      <c r="D304" t="s">
        <v>72</v>
      </c>
    </row>
    <row r="305" spans="1:4">
      <c r="A305" t="s">
        <v>3735</v>
      </c>
      <c r="D305" t="s">
        <v>72</v>
      </c>
    </row>
    <row r="306" spans="1:4">
      <c r="A306" t="s">
        <v>3736</v>
      </c>
      <c r="D306" t="s">
        <v>72</v>
      </c>
    </row>
    <row r="307" spans="1:4">
      <c r="A307" t="s">
        <v>3737</v>
      </c>
      <c r="D307" t="s">
        <v>72</v>
      </c>
    </row>
    <row r="308" spans="1:4">
      <c r="A308" t="s">
        <v>3426</v>
      </c>
      <c r="B308" t="s">
        <v>3738</v>
      </c>
      <c r="D308" t="s">
        <v>79</v>
      </c>
    </row>
    <row r="309" spans="1:4">
      <c r="A309" t="s">
        <v>3739</v>
      </c>
      <c r="D309" t="s">
        <v>72</v>
      </c>
    </row>
    <row r="310" spans="1:4">
      <c r="A310" t="s">
        <v>3740</v>
      </c>
      <c r="D310" t="s">
        <v>72</v>
      </c>
    </row>
    <row r="311" spans="1:4">
      <c r="A311" t="s">
        <v>3741</v>
      </c>
      <c r="D311" t="s">
        <v>72</v>
      </c>
    </row>
    <row r="312" spans="1:4">
      <c r="A312" t="s">
        <v>3742</v>
      </c>
      <c r="D312" t="s">
        <v>72</v>
      </c>
    </row>
    <row r="313" spans="1:4">
      <c r="A313" t="s">
        <v>3743</v>
      </c>
      <c r="D313" t="s">
        <v>72</v>
      </c>
    </row>
    <row r="314" spans="1:4">
      <c r="A314" t="s">
        <v>3744</v>
      </c>
      <c r="D314" t="s">
        <v>72</v>
      </c>
    </row>
    <row r="315" spans="1:4">
      <c r="A315" t="s">
        <v>3745</v>
      </c>
      <c r="D315" t="s">
        <v>72</v>
      </c>
    </row>
    <row r="316" spans="1:4">
      <c r="A316" t="s">
        <v>3746</v>
      </c>
      <c r="D316" t="s">
        <v>72</v>
      </c>
    </row>
    <row r="317" spans="1:4">
      <c r="A317" t="s">
        <v>3747</v>
      </c>
      <c r="D317" t="s">
        <v>72</v>
      </c>
    </row>
    <row r="318" spans="1:4">
      <c r="A318" t="s">
        <v>3748</v>
      </c>
      <c r="D318" t="s">
        <v>72</v>
      </c>
    </row>
    <row r="319" spans="1:4">
      <c r="A319" t="s">
        <v>3749</v>
      </c>
      <c r="D319" t="s">
        <v>72</v>
      </c>
    </row>
    <row r="320" spans="1:4">
      <c r="A320" t="s">
        <v>3750</v>
      </c>
      <c r="D320" t="s">
        <v>72</v>
      </c>
    </row>
    <row r="321" spans="1:4">
      <c r="A321" t="s">
        <v>3751</v>
      </c>
      <c r="D321" t="s">
        <v>72</v>
      </c>
    </row>
    <row r="322" spans="1:4">
      <c r="A322" t="s">
        <v>3752</v>
      </c>
      <c r="D322" t="s">
        <v>72</v>
      </c>
    </row>
    <row r="323" spans="1:4">
      <c r="A323" t="s">
        <v>3753</v>
      </c>
      <c r="D323" t="s">
        <v>72</v>
      </c>
    </row>
    <row r="324" spans="1:4">
      <c r="A324" t="s">
        <v>3754</v>
      </c>
      <c r="D324" t="s">
        <v>72</v>
      </c>
    </row>
    <row r="325" spans="1:4">
      <c r="A325" t="s">
        <v>3755</v>
      </c>
      <c r="D325" t="s">
        <v>72</v>
      </c>
    </row>
    <row r="326" spans="1:4">
      <c r="A326" t="s">
        <v>3756</v>
      </c>
      <c r="D326" t="s">
        <v>57</v>
      </c>
    </row>
    <row r="327" spans="1:4">
      <c r="A327" t="s">
        <v>3757</v>
      </c>
      <c r="D327" t="s">
        <v>59</v>
      </c>
    </row>
    <row r="328" spans="1:4">
      <c r="A328" t="s">
        <v>3757</v>
      </c>
      <c r="D328" t="s">
        <v>72</v>
      </c>
    </row>
    <row r="329" spans="1:4">
      <c r="A329" t="s">
        <v>3758</v>
      </c>
      <c r="D329" t="s">
        <v>72</v>
      </c>
    </row>
    <row r="330" spans="1:4">
      <c r="A330" t="s">
        <v>3759</v>
      </c>
      <c r="D330" t="s">
        <v>72</v>
      </c>
    </row>
    <row r="331" spans="1:4">
      <c r="A331" t="s">
        <v>3760</v>
      </c>
      <c r="D331" t="s">
        <v>32</v>
      </c>
    </row>
    <row r="332" spans="1:4">
      <c r="A332" t="s">
        <v>3761</v>
      </c>
      <c r="D332" t="s">
        <v>72</v>
      </c>
    </row>
    <row r="333" spans="1:4">
      <c r="A333" t="s">
        <v>3762</v>
      </c>
      <c r="D333" t="s">
        <v>72</v>
      </c>
    </row>
    <row r="334" spans="1:4">
      <c r="A334" t="s">
        <v>3763</v>
      </c>
      <c r="D334" t="s">
        <v>72</v>
      </c>
    </row>
    <row r="335" spans="1:4">
      <c r="A335" t="s">
        <v>3764</v>
      </c>
      <c r="D335" t="s">
        <v>72</v>
      </c>
    </row>
    <row r="336" spans="1:4">
      <c r="A336" t="s">
        <v>3765</v>
      </c>
      <c r="D336" t="s">
        <v>72</v>
      </c>
    </row>
    <row r="337" spans="1:4">
      <c r="A337" t="s">
        <v>3766</v>
      </c>
      <c r="D337" t="s">
        <v>72</v>
      </c>
    </row>
    <row r="338" spans="1:4">
      <c r="A338" t="s">
        <v>3767</v>
      </c>
      <c r="D338" t="s">
        <v>72</v>
      </c>
    </row>
    <row r="339" spans="1:4">
      <c r="A339" t="s">
        <v>3768</v>
      </c>
      <c r="D339" t="s">
        <v>72</v>
      </c>
    </row>
    <row r="340" spans="1:4">
      <c r="A340" t="s">
        <v>3769</v>
      </c>
      <c r="D340" t="s">
        <v>72</v>
      </c>
    </row>
    <row r="341" spans="1:4">
      <c r="A341" t="s">
        <v>3770</v>
      </c>
      <c r="D341" t="s">
        <v>32</v>
      </c>
    </row>
    <row r="342" spans="1:4">
      <c r="A342" t="s">
        <v>3771</v>
      </c>
      <c r="D342" t="s">
        <v>72</v>
      </c>
    </row>
    <row r="343" spans="1:4">
      <c r="A343" t="s">
        <v>3772</v>
      </c>
      <c r="D343" t="s">
        <v>41</v>
      </c>
    </row>
    <row r="344" spans="1:4">
      <c r="A344" t="s">
        <v>3773</v>
      </c>
      <c r="D344" t="s">
        <v>44</v>
      </c>
    </row>
    <row r="345" spans="1:4">
      <c r="A345" t="s">
        <v>3774</v>
      </c>
      <c r="D345" t="s">
        <v>44</v>
      </c>
    </row>
    <row r="346" spans="1:4">
      <c r="A346" t="s">
        <v>3775</v>
      </c>
      <c r="D346" t="s">
        <v>44</v>
      </c>
    </row>
    <row r="347" spans="1:4">
      <c r="A347" t="s">
        <v>3651</v>
      </c>
      <c r="D347" t="s">
        <v>58</v>
      </c>
    </row>
    <row r="348" spans="1:4">
      <c r="A348" t="s">
        <v>3776</v>
      </c>
      <c r="B348" t="s">
        <v>2184</v>
      </c>
      <c r="D348" t="s">
        <v>72</v>
      </c>
    </row>
    <row r="349" spans="1:4">
      <c r="A349" t="s">
        <v>3777</v>
      </c>
      <c r="D349" t="s">
        <v>72</v>
      </c>
    </row>
    <row r="350" spans="1:4">
      <c r="A350" t="s">
        <v>3778</v>
      </c>
      <c r="D350" t="s">
        <v>72</v>
      </c>
    </row>
    <row r="351" spans="1:4">
      <c r="A351" t="s">
        <v>3779</v>
      </c>
      <c r="D351" t="s">
        <v>72</v>
      </c>
    </row>
    <row r="352" spans="1:4">
      <c r="A352" t="s">
        <v>3780</v>
      </c>
      <c r="D352" t="s">
        <v>72</v>
      </c>
    </row>
    <row r="353" spans="1:4">
      <c r="A353" t="s">
        <v>3781</v>
      </c>
      <c r="D353" t="s">
        <v>72</v>
      </c>
    </row>
    <row r="354" spans="1:4">
      <c r="A354" t="s">
        <v>3782</v>
      </c>
      <c r="D354" t="s">
        <v>72</v>
      </c>
    </row>
    <row r="355" spans="1:4">
      <c r="A355" t="s">
        <v>3783</v>
      </c>
      <c r="D355" t="s">
        <v>72</v>
      </c>
    </row>
    <row r="356" spans="1:4">
      <c r="A356" t="s">
        <v>3784</v>
      </c>
      <c r="D356" t="s">
        <v>72</v>
      </c>
    </row>
    <row r="357" spans="1:4">
      <c r="A357" t="s">
        <v>3785</v>
      </c>
      <c r="D357" t="s">
        <v>72</v>
      </c>
    </row>
    <row r="358" spans="1:4">
      <c r="A358" t="s">
        <v>3786</v>
      </c>
      <c r="B358" t="s">
        <v>3787</v>
      </c>
      <c r="D358" t="s">
        <v>72</v>
      </c>
    </row>
    <row r="359" spans="1:4">
      <c r="A359" t="s">
        <v>3788</v>
      </c>
      <c r="D359" t="s">
        <v>72</v>
      </c>
    </row>
    <row r="360" spans="1:4">
      <c r="A360" t="s">
        <v>3789</v>
      </c>
      <c r="D360" t="s">
        <v>72</v>
      </c>
    </row>
    <row r="361" spans="1:4">
      <c r="A361" t="s">
        <v>3790</v>
      </c>
      <c r="D361" t="s">
        <v>72</v>
      </c>
    </row>
    <row r="362" spans="1:4">
      <c r="A362" t="s">
        <v>3791</v>
      </c>
      <c r="D362" t="s">
        <v>72</v>
      </c>
    </row>
    <row r="363" spans="1:4">
      <c r="A363" t="s">
        <v>3792</v>
      </c>
      <c r="D363" t="s">
        <v>72</v>
      </c>
    </row>
    <row r="364" spans="1:4">
      <c r="A364" t="s">
        <v>3793</v>
      </c>
      <c r="D364" t="s">
        <v>72</v>
      </c>
    </row>
    <row r="365" spans="1:4">
      <c r="A365" t="s">
        <v>3794</v>
      </c>
      <c r="D365" t="s">
        <v>72</v>
      </c>
    </row>
    <row r="366" spans="1:4">
      <c r="A366" t="s">
        <v>3795</v>
      </c>
      <c r="D366" t="s">
        <v>72</v>
      </c>
    </row>
    <row r="367" spans="1:4">
      <c r="A367" t="s">
        <v>3796</v>
      </c>
      <c r="D367" t="s">
        <v>72</v>
      </c>
    </row>
    <row r="368" spans="1:4">
      <c r="A368" t="s">
        <v>3797</v>
      </c>
      <c r="D368" t="s">
        <v>72</v>
      </c>
    </row>
    <row r="369" spans="1:4">
      <c r="A369" t="s">
        <v>3798</v>
      </c>
      <c r="D369" t="s">
        <v>72</v>
      </c>
    </row>
    <row r="370" spans="1:4">
      <c r="A370" t="s">
        <v>3799</v>
      </c>
      <c r="D370" t="s">
        <v>72</v>
      </c>
    </row>
    <row r="371" spans="1:4">
      <c r="A371" t="s">
        <v>3800</v>
      </c>
      <c r="D371" t="s">
        <v>72</v>
      </c>
    </row>
    <row r="372" spans="1:4">
      <c r="A372" t="s">
        <v>3801</v>
      </c>
      <c r="D372" t="s">
        <v>72</v>
      </c>
    </row>
    <row r="373" spans="1:4">
      <c r="A373" t="s">
        <v>3802</v>
      </c>
      <c r="D373" t="s">
        <v>72</v>
      </c>
    </row>
    <row r="374" spans="1:4">
      <c r="A374" t="s">
        <v>3803</v>
      </c>
      <c r="D374" t="s">
        <v>72</v>
      </c>
    </row>
    <row r="375" spans="1:4">
      <c r="A375" t="s">
        <v>3804</v>
      </c>
      <c r="D375" t="s">
        <v>72</v>
      </c>
    </row>
    <row r="376" spans="1:4">
      <c r="A376" t="s">
        <v>3805</v>
      </c>
      <c r="D376" t="s">
        <v>72</v>
      </c>
    </row>
    <row r="377" spans="1:4">
      <c r="A377" t="s">
        <v>3806</v>
      </c>
      <c r="D377" t="s">
        <v>72</v>
      </c>
    </row>
    <row r="378" spans="1:4">
      <c r="A378" t="s">
        <v>3807</v>
      </c>
      <c r="D378" t="s">
        <v>72</v>
      </c>
    </row>
    <row r="379" spans="1:4">
      <c r="A379" t="s">
        <v>3808</v>
      </c>
      <c r="D379" t="s">
        <v>72</v>
      </c>
    </row>
    <row r="380" spans="1:4">
      <c r="A380" t="s">
        <v>3809</v>
      </c>
      <c r="D380" t="s">
        <v>72</v>
      </c>
    </row>
    <row r="381" spans="1:4">
      <c r="A381" t="s">
        <v>3810</v>
      </c>
      <c r="D381" t="s">
        <v>72</v>
      </c>
    </row>
    <row r="382" spans="1:4">
      <c r="A382" t="s">
        <v>3811</v>
      </c>
      <c r="D382" t="s">
        <v>72</v>
      </c>
    </row>
    <row r="383" spans="1:4">
      <c r="A383" t="s">
        <v>3812</v>
      </c>
      <c r="D383" t="s">
        <v>72</v>
      </c>
    </row>
    <row r="384" spans="1:4">
      <c r="A384" t="s">
        <v>3813</v>
      </c>
      <c r="D384" t="s">
        <v>72</v>
      </c>
    </row>
    <row r="385" spans="1:4">
      <c r="A385" t="s">
        <v>3814</v>
      </c>
      <c r="D385" t="s">
        <v>72</v>
      </c>
    </row>
    <row r="386" spans="1:4">
      <c r="A386" t="s">
        <v>3815</v>
      </c>
      <c r="D386" t="s">
        <v>72</v>
      </c>
    </row>
    <row r="387" spans="1:4">
      <c r="A387" t="s">
        <v>3816</v>
      </c>
      <c r="D387" t="s">
        <v>72</v>
      </c>
    </row>
    <row r="388" spans="1:4">
      <c r="A388" t="s">
        <v>3817</v>
      </c>
      <c r="D388" t="s">
        <v>72</v>
      </c>
    </row>
    <row r="389" spans="1:4">
      <c r="A389" t="s">
        <v>3818</v>
      </c>
      <c r="D389" t="s">
        <v>72</v>
      </c>
    </row>
    <row r="390" spans="1:4">
      <c r="A390" t="s">
        <v>3819</v>
      </c>
      <c r="D390" t="s">
        <v>72</v>
      </c>
    </row>
    <row r="391" spans="1:4">
      <c r="A391" t="s">
        <v>3820</v>
      </c>
      <c r="D391" t="s">
        <v>72</v>
      </c>
    </row>
    <row r="392" spans="1:4">
      <c r="A392" t="s">
        <v>3821</v>
      </c>
      <c r="D392" t="s">
        <v>72</v>
      </c>
    </row>
    <row r="393" spans="1:4">
      <c r="A393" t="s">
        <v>3822</v>
      </c>
      <c r="D393" t="s">
        <v>72</v>
      </c>
    </row>
    <row r="394" spans="1:4">
      <c r="A394" t="s">
        <v>3823</v>
      </c>
      <c r="D394" t="s">
        <v>72</v>
      </c>
    </row>
    <row r="395" spans="1:4">
      <c r="A395" t="s">
        <v>3824</v>
      </c>
      <c r="D395" t="s">
        <v>72</v>
      </c>
    </row>
    <row r="396" spans="1:4">
      <c r="A396" t="s">
        <v>3825</v>
      </c>
      <c r="D396" t="s">
        <v>72</v>
      </c>
    </row>
    <row r="397" spans="1:4">
      <c r="A397" t="s">
        <v>3826</v>
      </c>
      <c r="D397" t="s">
        <v>72</v>
      </c>
    </row>
    <row r="398" spans="1:4">
      <c r="A398" t="s">
        <v>3827</v>
      </c>
      <c r="D398" t="s">
        <v>72</v>
      </c>
    </row>
    <row r="399" spans="1:4">
      <c r="A399" t="s">
        <v>3828</v>
      </c>
      <c r="D399" t="s">
        <v>72</v>
      </c>
    </row>
    <row r="400" spans="1:4">
      <c r="A400" t="s">
        <v>3829</v>
      </c>
      <c r="D400" t="s">
        <v>72</v>
      </c>
    </row>
    <row r="401" spans="1:4">
      <c r="A401" t="s">
        <v>3830</v>
      </c>
      <c r="D401" t="s">
        <v>72</v>
      </c>
    </row>
    <row r="402" spans="1:4">
      <c r="A402" t="s">
        <v>3831</v>
      </c>
      <c r="D402" t="s">
        <v>72</v>
      </c>
    </row>
    <row r="403" spans="1:4">
      <c r="A403" t="s">
        <v>3832</v>
      </c>
      <c r="D403" t="s">
        <v>72</v>
      </c>
    </row>
    <row r="404" spans="1:4">
      <c r="A404" t="s">
        <v>3833</v>
      </c>
      <c r="D404" t="s">
        <v>72</v>
      </c>
    </row>
    <row r="405" spans="1:4">
      <c r="A405" t="s">
        <v>3834</v>
      </c>
      <c r="D405" t="s">
        <v>72</v>
      </c>
    </row>
    <row r="406" spans="1:4">
      <c r="A406" t="s">
        <v>3835</v>
      </c>
      <c r="D406" t="s">
        <v>72</v>
      </c>
    </row>
    <row r="407" spans="1:4">
      <c r="A407" t="s">
        <v>3836</v>
      </c>
      <c r="D407" t="s">
        <v>72</v>
      </c>
    </row>
    <row r="408" spans="1:4">
      <c r="A408" t="s">
        <v>3837</v>
      </c>
      <c r="D408" t="s">
        <v>72</v>
      </c>
    </row>
    <row r="409" spans="1:4">
      <c r="A409" t="s">
        <v>3838</v>
      </c>
      <c r="D409" t="s">
        <v>72</v>
      </c>
    </row>
    <row r="410" spans="1:4">
      <c r="A410" t="s">
        <v>3839</v>
      </c>
      <c r="D410" t="s">
        <v>72</v>
      </c>
    </row>
    <row r="411" spans="1:4">
      <c r="A411" t="s">
        <v>3840</v>
      </c>
      <c r="D411" t="s">
        <v>72</v>
      </c>
    </row>
    <row r="412" spans="1:4">
      <c r="A412" t="s">
        <v>3841</v>
      </c>
      <c r="D412" t="s">
        <v>72</v>
      </c>
    </row>
    <row r="413" spans="1:4">
      <c r="A413" t="s">
        <v>3842</v>
      </c>
      <c r="D413" t="s">
        <v>72</v>
      </c>
    </row>
    <row r="414" spans="1:4">
      <c r="A414" t="s">
        <v>3843</v>
      </c>
      <c r="D414" t="s">
        <v>72</v>
      </c>
    </row>
    <row r="415" spans="1:4">
      <c r="A415" t="s">
        <v>3844</v>
      </c>
      <c r="D415" t="s">
        <v>72</v>
      </c>
    </row>
    <row r="416" spans="1:4">
      <c r="A416" t="s">
        <v>3845</v>
      </c>
      <c r="D416" t="s">
        <v>72</v>
      </c>
    </row>
    <row r="417" spans="1:4">
      <c r="A417" t="s">
        <v>3846</v>
      </c>
      <c r="B417" t="s">
        <v>3847</v>
      </c>
      <c r="D417" t="s">
        <v>72</v>
      </c>
    </row>
    <row r="418" spans="1:4">
      <c r="A418" t="s">
        <v>3848</v>
      </c>
      <c r="B418" t="s">
        <v>3849</v>
      </c>
      <c r="D418" t="s">
        <v>72</v>
      </c>
    </row>
    <row r="419" spans="1:4">
      <c r="A419" t="s">
        <v>3850</v>
      </c>
      <c r="D419" t="s">
        <v>32</v>
      </c>
    </row>
    <row r="420" spans="1:4">
      <c r="A420" t="s">
        <v>3851</v>
      </c>
      <c r="D420" t="s">
        <v>72</v>
      </c>
    </row>
    <row r="421" spans="1:4">
      <c r="A421" t="s">
        <v>3852</v>
      </c>
      <c r="D421" t="s">
        <v>72</v>
      </c>
    </row>
    <row r="422" spans="1:4">
      <c r="A422" t="s">
        <v>3853</v>
      </c>
      <c r="D422" t="s">
        <v>72</v>
      </c>
    </row>
    <row r="423" spans="1:4">
      <c r="A423" t="s">
        <v>3854</v>
      </c>
      <c r="D423" t="s">
        <v>72</v>
      </c>
    </row>
    <row r="424" spans="1:4">
      <c r="A424" t="s">
        <v>3855</v>
      </c>
      <c r="D424" t="s">
        <v>72</v>
      </c>
    </row>
    <row r="425" spans="1:4">
      <c r="A425" t="s">
        <v>3856</v>
      </c>
      <c r="D425" t="s">
        <v>72</v>
      </c>
    </row>
    <row r="426" spans="1:4">
      <c r="A426" t="s">
        <v>3857</v>
      </c>
      <c r="D426" t="s">
        <v>72</v>
      </c>
    </row>
    <row r="427" spans="1:4">
      <c r="A427" t="s">
        <v>3858</v>
      </c>
      <c r="D427" t="s">
        <v>72</v>
      </c>
    </row>
    <row r="428" spans="1:4">
      <c r="A428" t="s">
        <v>3859</v>
      </c>
      <c r="D428" t="s">
        <v>72</v>
      </c>
    </row>
    <row r="429" spans="1:4">
      <c r="A429" t="s">
        <v>3860</v>
      </c>
      <c r="D429" t="s">
        <v>72</v>
      </c>
    </row>
    <row r="430" spans="1:4">
      <c r="A430" t="s">
        <v>3861</v>
      </c>
      <c r="D430" t="s">
        <v>72</v>
      </c>
    </row>
    <row r="431" spans="1:4">
      <c r="A431" t="s">
        <v>3862</v>
      </c>
      <c r="D431" t="s">
        <v>72</v>
      </c>
    </row>
    <row r="432" spans="1:4">
      <c r="A432" t="s">
        <v>3863</v>
      </c>
      <c r="D432" t="s">
        <v>72</v>
      </c>
    </row>
    <row r="433" spans="1:4">
      <c r="A433" t="s">
        <v>3864</v>
      </c>
      <c r="D433" t="s">
        <v>72</v>
      </c>
    </row>
    <row r="434" spans="1:4">
      <c r="A434" t="s">
        <v>3865</v>
      </c>
      <c r="D434" t="s">
        <v>72</v>
      </c>
    </row>
    <row r="435" spans="1:4">
      <c r="A435" t="s">
        <v>3866</v>
      </c>
      <c r="D435" t="s">
        <v>35</v>
      </c>
    </row>
    <row r="436" spans="1:4">
      <c r="A436" t="s">
        <v>3867</v>
      </c>
      <c r="D436" t="s">
        <v>72</v>
      </c>
    </row>
    <row r="437" spans="1:4">
      <c r="A437" t="s">
        <v>3868</v>
      </c>
      <c r="D437" t="s">
        <v>72</v>
      </c>
    </row>
    <row r="438" spans="1:4">
      <c r="A438" t="s">
        <v>3869</v>
      </c>
      <c r="D438" t="s">
        <v>72</v>
      </c>
    </row>
    <row r="439" spans="1:4">
      <c r="A439" t="s">
        <v>3870</v>
      </c>
      <c r="D439" t="s">
        <v>72</v>
      </c>
    </row>
    <row r="440" spans="1:4">
      <c r="A440" t="s">
        <v>3871</v>
      </c>
      <c r="D440" t="s">
        <v>72</v>
      </c>
    </row>
    <row r="441" spans="1:4">
      <c r="A441" t="s">
        <v>3872</v>
      </c>
      <c r="D441" t="s">
        <v>72</v>
      </c>
    </row>
    <row r="442" spans="1:4">
      <c r="A442" t="s">
        <v>3873</v>
      </c>
      <c r="D442" t="s">
        <v>72</v>
      </c>
    </row>
    <row r="443" spans="1:4">
      <c r="A443" t="s">
        <v>3874</v>
      </c>
      <c r="D443" t="s">
        <v>72</v>
      </c>
    </row>
  </sheetData>
  <phoneticPr fontId="6" type="noConversion"/>
  <dataValidations count="1">
    <dataValidation type="list" allowBlank="1" showInputMessage="1" showErrorMessage="1" sqref="D2:D443" xr:uid="{4D892532-BADD-444A-9A26-406BC1C5BE84}">
      <formula1>Expenses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4737-D35A-4C31-8123-117BF0AB4A33}">
  <dimension ref="A1:K9"/>
  <sheetViews>
    <sheetView workbookViewId="0">
      <selection activeCell="I16" sqref="I16"/>
    </sheetView>
  </sheetViews>
  <sheetFormatPr defaultColWidth="9.140625" defaultRowHeight="15"/>
  <cols>
    <col min="1" max="2" width="28.5703125" style="44" customWidth="1"/>
    <col min="3" max="3" width="13.85546875" style="44" customWidth="1"/>
    <col min="4" max="4" width="11.85546875" style="44" customWidth="1"/>
    <col min="5" max="6" width="14.140625" style="44" customWidth="1"/>
    <col min="7" max="7" width="12.5703125" style="44" customWidth="1"/>
    <col min="8" max="16384" width="9.140625" style="44"/>
  </cols>
  <sheetData>
    <row r="1" spans="1:11" ht="24.75" customHeight="1">
      <c r="A1" s="132" t="s">
        <v>3875</v>
      </c>
      <c r="B1" s="133"/>
      <c r="C1" s="133"/>
      <c r="D1" s="133"/>
      <c r="E1" s="133"/>
      <c r="F1" s="133"/>
      <c r="G1" s="133"/>
    </row>
    <row r="2" spans="1:11" ht="22.5" customHeight="1" thickBot="1">
      <c r="A2" s="46" t="s">
        <v>3876</v>
      </c>
      <c r="B2" s="46" t="s">
        <v>3877</v>
      </c>
      <c r="C2" s="46" t="s">
        <v>3878</v>
      </c>
      <c r="D2" s="46" t="s">
        <v>3879</v>
      </c>
      <c r="E2" s="46" t="s">
        <v>15</v>
      </c>
      <c r="F2" s="46" t="s">
        <v>3880</v>
      </c>
      <c r="G2" s="46" t="s">
        <v>3881</v>
      </c>
      <c r="I2" s="44" t="s">
        <v>3882</v>
      </c>
      <c r="K2" s="44">
        <v>5000</v>
      </c>
    </row>
    <row r="3" spans="1:11" ht="21" customHeight="1">
      <c r="A3" s="47" t="s">
        <v>3883</v>
      </c>
      <c r="B3" s="48" t="s">
        <v>3884</v>
      </c>
      <c r="C3" s="68">
        <v>0</v>
      </c>
      <c r="D3" s="73" t="s">
        <v>3885</v>
      </c>
      <c r="E3" s="73" t="e">
        <f>Accounts[[#This Row],[Cushion]]+Accounts[[#This Row],[Expected]]</f>
        <v>#VALUE!</v>
      </c>
      <c r="F3" s="69"/>
      <c r="G3" s="69" t="e">
        <f>Accounts[[#This Row],[Actual]]-Accounts[[#This Row],[Expected]]</f>
        <v>#VALUE!</v>
      </c>
      <c r="J3" s="75" t="s">
        <v>3886</v>
      </c>
      <c r="K3" s="44">
        <v>6125</v>
      </c>
    </row>
    <row r="4" spans="1:11" ht="21" customHeight="1">
      <c r="A4" s="47" t="s">
        <v>3887</v>
      </c>
      <c r="B4" s="48" t="s">
        <v>3888</v>
      </c>
      <c r="C4" s="68">
        <v>0</v>
      </c>
      <c r="D4" s="73" t="s">
        <v>3885</v>
      </c>
      <c r="E4" s="73" t="e">
        <f>Accounts[[#This Row],[Cushion]]+Accounts[[#This Row],[Expected]]</f>
        <v>#VALUE!</v>
      </c>
      <c r="F4" s="70"/>
      <c r="G4" s="70" t="e">
        <f>Accounts[[#This Row],[Actual]]-Accounts[[#This Row],[Expected]]</f>
        <v>#VALUE!</v>
      </c>
      <c r="J4" s="75" t="s">
        <v>3889</v>
      </c>
      <c r="K4" s="44">
        <f>1900+2000+341.05+355</f>
        <v>4596.05</v>
      </c>
    </row>
    <row r="5" spans="1:11" ht="21" customHeight="1">
      <c r="A5" s="44" t="s">
        <v>3890</v>
      </c>
      <c r="B5" s="48" t="s">
        <v>3891</v>
      </c>
      <c r="C5" s="68" t="s">
        <v>38</v>
      </c>
      <c r="D5" s="73" t="e">
        <f>SUM(Budget!G3:G26)+Accounts[[#This Row],[Cushion]]</f>
        <v>#VALUE!</v>
      </c>
      <c r="E5" s="73" t="e">
        <f>Accounts[[#This Row],[Cushion]]+Accounts[[#This Row],[Expected]]</f>
        <v>#VALUE!</v>
      </c>
      <c r="F5" s="70" t="s">
        <v>38</v>
      </c>
      <c r="G5" s="70" t="e">
        <f>Accounts[[#This Row],[Actual]]-Accounts[[#This Row],[Expected]]</f>
        <v>#VALUE!</v>
      </c>
    </row>
    <row r="6" spans="1:11" ht="21" customHeight="1">
      <c r="A6" s="47" t="s">
        <v>3892</v>
      </c>
      <c r="B6" s="48" t="s">
        <v>3348</v>
      </c>
      <c r="C6" s="68">
        <v>0</v>
      </c>
      <c r="D6" s="74">
        <f>SUM(Budget!S3:S13)</f>
        <v>3357.2299999999996</v>
      </c>
      <c r="E6" s="73">
        <f>Accounts[[#This Row],[Expected]]+Accounts[[#This Row],[Cushion]]+K3+K4</f>
        <v>14078.279999999999</v>
      </c>
      <c r="F6" s="70">
        <v>2068.12</v>
      </c>
      <c r="G6" s="73">
        <f>Accounts[[#This Row],[Cushion]]+Accounts[[#This Row],[Expected]]</f>
        <v>3357.2299999999996</v>
      </c>
    </row>
    <row r="7" spans="1:11" ht="21" customHeight="1">
      <c r="A7" s="47" t="s">
        <v>3893</v>
      </c>
      <c r="B7" s="48" t="s">
        <v>3894</v>
      </c>
      <c r="C7" s="68">
        <v>0</v>
      </c>
      <c r="D7" s="72" t="s">
        <v>3885</v>
      </c>
      <c r="E7" s="73" t="e">
        <f>Accounts[[#This Row],[Cushion]]+Accounts[[#This Row],[Expected]]</f>
        <v>#VALUE!</v>
      </c>
      <c r="F7" s="70"/>
      <c r="G7" s="70" t="e">
        <f>Accounts[[#This Row],[Actual]]-Accounts[[#This Row],[Expected]]</f>
        <v>#VALUE!</v>
      </c>
    </row>
    <row r="8" spans="1:11" ht="21" customHeight="1">
      <c r="A8" s="47" t="s">
        <v>3895</v>
      </c>
      <c r="B8" s="48" t="s">
        <v>3896</v>
      </c>
      <c r="C8" s="68">
        <v>0</v>
      </c>
      <c r="D8" s="72" t="s">
        <v>3885</v>
      </c>
      <c r="E8" s="73" t="e">
        <f>Accounts[[#This Row],[Cushion]]+Accounts[[#This Row],[Expected]]</f>
        <v>#VALUE!</v>
      </c>
      <c r="F8" s="70"/>
      <c r="G8" s="70" t="e">
        <f>Accounts[[#This Row],[Actual]]-Accounts[[#This Row],[Expected]]</f>
        <v>#VALUE!</v>
      </c>
    </row>
    <row r="9" spans="1:11" ht="21" customHeight="1">
      <c r="A9" s="47" t="s">
        <v>3897</v>
      </c>
      <c r="B9" s="48" t="s">
        <v>187</v>
      </c>
      <c r="C9" s="68">
        <v>0</v>
      </c>
      <c r="D9" s="72" t="s">
        <v>3885</v>
      </c>
      <c r="E9" s="73" t="e">
        <f>Accounts[[#This Row],[Cushion]]+Accounts[[#This Row],[Expected]]</f>
        <v>#VALUE!</v>
      </c>
      <c r="F9" s="71"/>
      <c r="G9" s="71" t="e">
        <f>Accounts[[#This Row],[Actual]]-Accounts[[#This Row],[Expected]]</f>
        <v>#VALUE!</v>
      </c>
    </row>
  </sheetData>
  <mergeCells count="1">
    <mergeCell ref="A1:G1"/>
  </mergeCells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7221A5A97B734899D639CFDD4B9682" ma:contentTypeVersion="4" ma:contentTypeDescription="Create a new document." ma:contentTypeScope="" ma:versionID="b9806a526d9bc6a6c2d4419b22584a05">
  <xsd:schema xmlns:xsd="http://www.w3.org/2001/XMLSchema" xmlns:xs="http://www.w3.org/2001/XMLSchema" xmlns:p="http://schemas.microsoft.com/office/2006/metadata/properties" xmlns:ns3="52be26d3-6f42-4333-a8bc-299d652969a2" targetNamespace="http://schemas.microsoft.com/office/2006/metadata/properties" ma:root="true" ma:fieldsID="7a9a7ab0124dbbd1ba03f70b86763566" ns3:_="">
    <xsd:import namespace="52be26d3-6f42-4333-a8bc-299d652969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e26d3-6f42-4333-a8bc-299d65296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DFA4B6-88F3-4AB8-91DF-D699E49E54FB}"/>
</file>

<file path=customXml/itemProps2.xml><?xml version="1.0" encoding="utf-8"?>
<ds:datastoreItem xmlns:ds="http://schemas.openxmlformats.org/officeDocument/2006/customXml" ds:itemID="{02C1D8A7-0389-48FB-805F-200E751E0A33}"/>
</file>

<file path=customXml/itemProps3.xml><?xml version="1.0" encoding="utf-8"?>
<ds:datastoreItem xmlns:ds="http://schemas.openxmlformats.org/officeDocument/2006/customXml" ds:itemID="{C647B69C-0FA3-42AF-93F0-3F9FC2A776CA}"/>
</file>

<file path=customXml/itemProps4.xml><?xml version="1.0" encoding="utf-8"?>
<ds:datastoreItem xmlns:ds="http://schemas.openxmlformats.org/officeDocument/2006/customXml" ds:itemID="{A73D2510-963F-4F81-B897-3B16457A15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Zarichney</dc:creator>
  <cp:keywords/>
  <dc:description/>
  <cp:lastModifiedBy>Steven Zarichney</cp:lastModifiedBy>
  <cp:revision/>
  <dcterms:created xsi:type="dcterms:W3CDTF">2024-02-24T16:54:20Z</dcterms:created>
  <dcterms:modified xsi:type="dcterms:W3CDTF">2026-01-08T22:40:42Z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0x0101005C7221A5A97B734899D639CFDD4B9682</vt:lpwstr>
  </property>
</Properties>
</file>